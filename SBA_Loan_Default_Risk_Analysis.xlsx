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tosh/Documents/printout/"/>
    </mc:Choice>
  </mc:AlternateContent>
  <xr:revisionPtr revIDLastSave="0" documentId="13_ncr:1_{8CA2145E-BE25-BC4E-A33D-C07714C77D94}" xr6:coauthVersionLast="47" xr6:coauthVersionMax="47" xr10:uidLastSave="{00000000-0000-0000-0000-000000000000}"/>
  <bookViews>
    <workbookView xWindow="0" yWindow="600" windowWidth="28800" windowHeight="15980" xr2:uid="{8CF105F6-534A-4D43-9151-236A63534D83}"/>
  </bookViews>
  <sheets>
    <sheet name="KPI Dashboard" sheetId="6" r:id="rId1"/>
    <sheet name="Charts" sheetId="2" r:id="rId2"/>
    <sheet name="Risk Scorer" sheetId="5" r:id="rId3"/>
    <sheet name="Raw Data" sheetId="4" r:id="rId4"/>
  </sheets>
  <definedNames>
    <definedName name="query1_overall_default" localSheetId="3">'Raw Data'!#REF!</definedName>
    <definedName name="query1_overall_default_1" localSheetId="3">'Raw Data'!$A$1:$C$4</definedName>
    <definedName name="query2_state_default" localSheetId="3">'Raw Data'!$A$10:$D$25</definedName>
    <definedName name="query3_industry_default" localSheetId="3">'Raw Data'!$A$30:$D$45</definedName>
    <definedName name="query4_loansize_default" localSheetId="3">'Raw Data'!$A$50:$D$54</definedName>
    <definedName name="query5_newexist_default" localSheetId="3">'Raw Data'!$A$60:$D$62</definedName>
    <definedName name="query6_lowdoc_default" localSheetId="3">'Raw Data'!$A$70:$D$79</definedName>
    <definedName name="query7_yearly_trend" localSheetId="3">'Raw Data'!$A$85:$D$132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5" l="1"/>
  <c r="C18" i="5"/>
  <c r="C17" i="5"/>
  <c r="C16" i="5"/>
  <c r="C15" i="5"/>
  <c r="C21" i="5" l="1"/>
  <c r="C26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F795F-FC40-844F-8A8D-6E9FE6DD9731}" name="query1_overall_default1" type="6" refreshedVersion="8" background="1" saveData="1">
    <textPr sourceFile="/Users/ashutosh/Documents/printout/query1_overall_default.csv" comma="1">
      <textFields count="3">
        <textField/>
        <textField/>
        <textField/>
      </textFields>
    </textPr>
  </connection>
  <connection id="2" xr16:uid="{E2C34064-1694-DB4F-908F-9BBE0E7BE88F}" name="query2_state_default" type="6" refreshedVersion="8" background="1" saveData="1">
    <textPr sourceFile="/Users/ashutosh/Documents/printout/query2_state_default.csv" comma="1">
      <textFields count="4">
        <textField/>
        <textField/>
        <textField/>
        <textField/>
      </textFields>
    </textPr>
  </connection>
  <connection id="3" xr16:uid="{90CDED79-ADB0-1D4F-8E34-E3EFE9C63839}" name="query3_industry_default" type="6" refreshedVersion="8" background="1" saveData="1">
    <textPr sourceFile="/Users/ashutosh/Documents/printout/query3_industry_default.csv" comma="1">
      <textFields count="4">
        <textField/>
        <textField/>
        <textField/>
        <textField/>
      </textFields>
    </textPr>
  </connection>
  <connection id="4" xr16:uid="{2E3A2A47-6279-8243-B68E-78CB02BDEEDF}" name="query4_loansize_default" type="6" refreshedVersion="8" background="1" saveData="1">
    <textPr sourceFile="/Users/ashutosh/Documents/printout/query4_loansize_default.csv" comma="1">
      <textFields count="4">
        <textField/>
        <textField/>
        <textField/>
        <textField/>
      </textFields>
    </textPr>
  </connection>
  <connection id="5" xr16:uid="{DB20C306-A33A-4D4A-ABB6-AD6A692E6F93}" name="query5_newexist_default" type="6" refreshedVersion="8" background="1" saveData="1">
    <textPr sourceFile="/Users/ashutosh/Documents/printout/query5_newexist_default.csv" comma="1">
      <textFields count="4">
        <textField/>
        <textField/>
        <textField/>
        <textField/>
      </textFields>
    </textPr>
  </connection>
  <connection id="6" xr16:uid="{0E90B638-142C-0C45-98FA-3C0D0E5E1461}" name="query6_lowdoc_default" type="6" refreshedVersion="8" background="1" saveData="1">
    <textPr sourceFile="/Users/ashutosh/Documents/printout/query6_lowdoc_default.csv" comma="1">
      <textFields count="4">
        <textField/>
        <textField/>
        <textField/>
        <textField/>
      </textFields>
    </textPr>
  </connection>
  <connection id="7" xr16:uid="{0F8D2C2A-CCC6-D74C-9BF7-C4FF37680AF8}" name="query7_yearly_trend" type="6" refreshedVersion="8" background="1" saveData="1">
    <textPr sourceFile="/Users/ashutosh/Documents/printout/query7_yearly_trend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<sst xmlns="http://schemas.openxmlformats.org/spreadsheetml/2006/main" count="103" uniqueCount="80">
  <si>
    <t>MIS_Status</t>
  </si>
  <si>
    <t>total_loans</t>
  </si>
  <si>
    <t>percentage</t>
  </si>
  <si>
    <t>P I F</t>
  </si>
  <si>
    <t>CHGOFF</t>
  </si>
  <si>
    <t>State</t>
  </si>
  <si>
    <t>total_defaults</t>
  </si>
  <si>
    <t>default_rate_pct</t>
  </si>
  <si>
    <t>FL</t>
  </si>
  <si>
    <t>GA</t>
  </si>
  <si>
    <t>NV</t>
  </si>
  <si>
    <t>IL</t>
  </si>
  <si>
    <t>DC</t>
  </si>
  <si>
    <t>MI</t>
  </si>
  <si>
    <t>TN</t>
  </si>
  <si>
    <t>AZ</t>
  </si>
  <si>
    <t>SC</t>
  </si>
  <si>
    <t>NJ</t>
  </si>
  <si>
    <t>NY</t>
  </si>
  <si>
    <t>MD</t>
  </si>
  <si>
    <t>NC</t>
  </si>
  <si>
    <t>VA</t>
  </si>
  <si>
    <t>CA</t>
  </si>
  <si>
    <t>industry_code</t>
  </si>
  <si>
    <t>loan_size_bucket</t>
  </si>
  <si>
    <t>1. Small (Under 50K)</t>
  </si>
  <si>
    <t>2. Medium (50K-150K)</t>
  </si>
  <si>
    <t>3. Large (150K-500K)</t>
  </si>
  <si>
    <t>4. Very Large (500K+)</t>
  </si>
  <si>
    <t>business_type</t>
  </si>
  <si>
    <t>New Business</t>
  </si>
  <si>
    <t>Existing Business</t>
  </si>
  <si>
    <t>doc_type</t>
  </si>
  <si>
    <t>Other</t>
  </si>
  <si>
    <t>Full Documentation</t>
  </si>
  <si>
    <t>Low Documentation</t>
  </si>
  <si>
    <t>year</t>
  </si>
  <si>
    <t>SBA LOAN DEFAULT RISK ANALYSIS</t>
  </si>
  <si>
    <t>RISKIEST STATE</t>
  </si>
  <si>
    <t>Florida (FL)</t>
  </si>
  <si>
    <t>WORST YEAR</t>
  </si>
  <si>
    <t>SME LOAN RISK CALCULATOR</t>
  </si>
  <si>
    <t>LOAN DETAILS</t>
  </si>
  <si>
    <t>State:</t>
  </si>
  <si>
    <t>Loan Amount ($):</t>
  </si>
  <si>
    <t>Business Type:</t>
  </si>
  <si>
    <t>Documentation:</t>
  </si>
  <si>
    <t>New</t>
  </si>
  <si>
    <t>Full</t>
  </si>
  <si>
    <t>Industry Risk:</t>
  </si>
  <si>
    <t>High</t>
  </si>
  <si>
    <t>RISK SCORE</t>
  </si>
  <si>
    <t>State Score:</t>
  </si>
  <si>
    <t>Loan Size Score:</t>
  </si>
  <si>
    <t>Business Type Score:</t>
  </si>
  <si>
    <t>Documentation Score:</t>
  </si>
  <si>
    <t>Industry Score:</t>
  </si>
  <si>
    <t>TOTAL SCORE:</t>
  </si>
  <si>
    <t>RISK LEVEL</t>
  </si>
  <si>
    <t>RESULT:</t>
  </si>
  <si>
    <t>SCORE GUIDE</t>
  </si>
  <si>
    <t>13-15 =  Very High Risk</t>
  </si>
  <si>
    <t>11-12 =  High Risk</t>
  </si>
  <si>
    <t>7-10 =  Medium Risk</t>
  </si>
  <si>
    <t>4-6 =  Low Risk</t>
  </si>
  <si>
    <t>0-3 =  Very Low Risk</t>
  </si>
  <si>
    <t>United States Small Business Administration | 1987-2014 | 896,139 Loans Analyzed</t>
  </si>
  <si>
    <t>TOTAL LOANS</t>
  </si>
  <si>
    <t>Loans Analyzed</t>
  </si>
  <si>
    <t>DEFAULT RATE</t>
  </si>
  <si>
    <t>Loans Defaulted</t>
  </si>
  <si>
    <t>30.71% Default Rate</t>
  </si>
  <si>
    <t>KEY INSIGHTS</t>
  </si>
  <si>
    <t>1 in 5 small business loans default (19.41% rate)</t>
  </si>
  <si>
    <t>Florida is riskiest state with 30.71% default rate</t>
  </si>
  <si>
    <t>Small loans (&lt;$50K) default 3x more than large loans</t>
  </si>
  <si>
    <t>2007-2008 recession caused 42%+ default spike</t>
  </si>
  <si>
    <t>Real Estate industry has highest default rate (31.97%)</t>
  </si>
  <si>
    <t>Data Source: U.S. Small Business Administration | Analysis by: Ashutosh Kesarwani</t>
  </si>
  <si>
    <t>42.79% Default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</si>
</sst>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24"/>
      <color rgb="FFFF0000"/>
      <name val="Aptos Narrow"/>
      <scheme val="minor"/>
    </font>
    <font>
      <b/>
      <sz val="12"/>
      <color theme="2" tint="-0.249977111117893"/>
      <name val="Aptos Narrow"/>
      <scheme val="minor"/>
    </font>
    <font>
      <b/>
      <sz val="22"/>
      <color theme="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2" tint="-0.249977111117893"/>
      <name val="Arial"/>
      <family val="2"/>
    </font>
    <font>
      <b/>
      <sz val="24"/>
      <color rgb="FF7030A0"/>
      <name val="Arial"/>
      <family val="2"/>
    </font>
    <font>
      <b/>
      <sz val="24"/>
      <color rgb="FFFF0000"/>
      <name val="Arial"/>
      <family val="2"/>
    </font>
    <font>
      <b/>
      <sz val="18"/>
      <color rgb="FF002060"/>
      <name val="Arial"/>
      <family val="2"/>
    </font>
    <font>
      <b/>
      <sz val="12"/>
      <color theme="0"/>
      <name val="Arial"/>
      <family val="2"/>
    </font>
    <font>
      <b/>
      <sz val="16"/>
      <color rgb="FF0070C0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/>
    <xf numFmtId="0" fontId="5" fillId="5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0" borderId="0" xfId="0" applyFont="1" applyBorder="1" applyAlignment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3" fontId="7" fillId="0" borderId="7" xfId="0" applyNumberFormat="1" applyFont="1" applyBorder="1" applyAlignment="1">
      <alignment horizontal="center"/>
    </xf>
    <xf numFmtId="10" fontId="8" fillId="0" borderId="0" xfId="0" applyNumberFormat="1" applyFont="1" applyBorder="1" applyAlignment="1"/>
    <xf numFmtId="10" fontId="8" fillId="0" borderId="6" xfId="0" applyNumberFormat="1" applyFont="1" applyBorder="1" applyAlignment="1">
      <alignment horizontal="center"/>
    </xf>
    <xf numFmtId="10" fontId="8" fillId="0" borderId="7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7" borderId="0" xfId="0" applyFont="1" applyFill="1"/>
    <xf numFmtId="0" fontId="4" fillId="0" borderId="0" xfId="0" applyFont="1" applyFill="1"/>
    <xf numFmtId="0" fontId="10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2" fillId="0" borderId="0" xfId="0" applyFont="1"/>
    <xf numFmtId="0" fontId="12" fillId="3" borderId="0" xfId="0" applyFont="1" applyFill="1"/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0" fontId="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/>
    </xf>
    <xf numFmtId="10" fontId="6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Default Rate by State (Top 10)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Data'!$B$10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Data'!$A$11:$A$25</c:f>
              <c:strCache>
                <c:ptCount val="15"/>
                <c:pt idx="0">
                  <c:v>FL</c:v>
                </c:pt>
                <c:pt idx="1">
                  <c:v>GA</c:v>
                </c:pt>
                <c:pt idx="2">
                  <c:v>NV</c:v>
                </c:pt>
                <c:pt idx="3">
                  <c:v>IL</c:v>
                </c:pt>
                <c:pt idx="4">
                  <c:v>DC</c:v>
                </c:pt>
                <c:pt idx="5">
                  <c:v>MI</c:v>
                </c:pt>
                <c:pt idx="6">
                  <c:v>TN</c:v>
                </c:pt>
                <c:pt idx="7">
                  <c:v>AZ</c:v>
                </c:pt>
                <c:pt idx="8">
                  <c:v>SC</c:v>
                </c:pt>
                <c:pt idx="9">
                  <c:v>NJ</c:v>
                </c:pt>
                <c:pt idx="10">
                  <c:v>NY</c:v>
                </c:pt>
                <c:pt idx="11">
                  <c:v>MD</c:v>
                </c:pt>
                <c:pt idx="12">
                  <c:v>NC</c:v>
                </c:pt>
                <c:pt idx="13">
                  <c:v>VA</c:v>
                </c:pt>
                <c:pt idx="14">
                  <c:v>CA</c:v>
                </c:pt>
              </c:strCache>
            </c:strRef>
          </c:cat>
          <c:val>
            <c:numRef>
              <c:f>'Raw Data'!$B$11:$B$25</c:f>
              <c:numCache>
                <c:formatCode>General</c:formatCode>
                <c:ptCount val="15"/>
                <c:pt idx="0">
                  <c:v>65453</c:v>
                </c:pt>
                <c:pt idx="1">
                  <c:v>35593</c:v>
                </c:pt>
                <c:pt idx="2">
                  <c:v>12616</c:v>
                </c:pt>
                <c:pt idx="3">
                  <c:v>47746</c:v>
                </c:pt>
                <c:pt idx="4">
                  <c:v>2398</c:v>
                </c:pt>
                <c:pt idx="5">
                  <c:v>33385</c:v>
                </c:pt>
                <c:pt idx="6">
                  <c:v>14745</c:v>
                </c:pt>
                <c:pt idx="7">
                  <c:v>27903</c:v>
                </c:pt>
                <c:pt idx="8">
                  <c:v>8741</c:v>
                </c:pt>
                <c:pt idx="9">
                  <c:v>37405</c:v>
                </c:pt>
                <c:pt idx="10">
                  <c:v>92457</c:v>
                </c:pt>
                <c:pt idx="11">
                  <c:v>20634</c:v>
                </c:pt>
                <c:pt idx="12">
                  <c:v>22745</c:v>
                </c:pt>
                <c:pt idx="13">
                  <c:v>20896</c:v>
                </c:pt>
                <c:pt idx="14">
                  <c:v>203234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4-8545-8415-25CEA34E53F4}"/>
            </c:ext>
          </c:extLst>
        </c:ser>
        <c:ser>
          <c:idx val="1"/>
          <c:order val="1"/>
          <c:tx>
            <c:strRef>
              <c:f>'Raw Data'!$C$10</c:f>
              <c:strCache>
                <c:ptCount val="1"/>
                <c:pt idx="0">
                  <c:v>total_defaults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'Raw Data'!$A$11:$A$25</c:f>
              <c:strCache>
                <c:ptCount val="15"/>
                <c:pt idx="0">
                  <c:v>FL</c:v>
                </c:pt>
                <c:pt idx="1">
                  <c:v>GA</c:v>
                </c:pt>
                <c:pt idx="2">
                  <c:v>NV</c:v>
                </c:pt>
                <c:pt idx="3">
                  <c:v>IL</c:v>
                </c:pt>
                <c:pt idx="4">
                  <c:v>DC</c:v>
                </c:pt>
                <c:pt idx="5">
                  <c:v>MI</c:v>
                </c:pt>
                <c:pt idx="6">
                  <c:v>TN</c:v>
                </c:pt>
                <c:pt idx="7">
                  <c:v>AZ</c:v>
                </c:pt>
                <c:pt idx="8">
                  <c:v>SC</c:v>
                </c:pt>
                <c:pt idx="9">
                  <c:v>NJ</c:v>
                </c:pt>
                <c:pt idx="10">
                  <c:v>NY</c:v>
                </c:pt>
                <c:pt idx="11">
                  <c:v>MD</c:v>
                </c:pt>
                <c:pt idx="12">
                  <c:v>NC</c:v>
                </c:pt>
                <c:pt idx="13">
                  <c:v>VA</c:v>
                </c:pt>
                <c:pt idx="14">
                  <c:v>CA</c:v>
                </c:pt>
              </c:strCache>
            </c:strRef>
          </c:cat>
          <c:val>
            <c:numRef>
              <c:f>'Raw Data'!$C$11:$C$25</c:f>
              <c:numCache>
                <c:formatCode>General</c:formatCode>
                <c:ptCount val="15"/>
                <c:pt idx="0">
                  <c:v>20103</c:v>
                </c:pt>
                <c:pt idx="1">
                  <c:v>9517</c:v>
                </c:pt>
                <c:pt idx="2">
                  <c:v>3214</c:v>
                </c:pt>
                <c:pt idx="3">
                  <c:v>11984</c:v>
                </c:pt>
                <c:pt idx="4">
                  <c:v>594</c:v>
                </c:pt>
                <c:pt idx="5">
                  <c:v>8199</c:v>
                </c:pt>
                <c:pt idx="6">
                  <c:v>3513</c:v>
                </c:pt>
                <c:pt idx="7">
                  <c:v>6584</c:v>
                </c:pt>
                <c:pt idx="8">
                  <c:v>2013</c:v>
                </c:pt>
                <c:pt idx="9">
                  <c:v>8371</c:v>
                </c:pt>
                <c:pt idx="10">
                  <c:v>20125</c:v>
                </c:pt>
                <c:pt idx="11">
                  <c:v>4457</c:v>
                </c:pt>
                <c:pt idx="12">
                  <c:v>4779</c:v>
                </c:pt>
                <c:pt idx="13">
                  <c:v>4344</c:v>
                </c:pt>
                <c:pt idx="14">
                  <c:v>42107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4-8545-8415-25CEA34E53F4}"/>
            </c:ext>
          </c:extLst>
        </c:ser>
        <c:ser>
          <c:idx val="2"/>
          <c:order val="2"/>
          <c:tx>
            <c:strRef>
              <c:f>'Raw Data'!$D$10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'Raw Data'!$A$11:$A$25</c:f>
              <c:strCache>
                <c:ptCount val="15"/>
                <c:pt idx="0">
                  <c:v>FL</c:v>
                </c:pt>
                <c:pt idx="1">
                  <c:v>GA</c:v>
                </c:pt>
                <c:pt idx="2">
                  <c:v>NV</c:v>
                </c:pt>
                <c:pt idx="3">
                  <c:v>IL</c:v>
                </c:pt>
                <c:pt idx="4">
                  <c:v>DC</c:v>
                </c:pt>
                <c:pt idx="5">
                  <c:v>MI</c:v>
                </c:pt>
                <c:pt idx="6">
                  <c:v>TN</c:v>
                </c:pt>
                <c:pt idx="7">
                  <c:v>AZ</c:v>
                </c:pt>
                <c:pt idx="8">
                  <c:v>SC</c:v>
                </c:pt>
                <c:pt idx="9">
                  <c:v>NJ</c:v>
                </c:pt>
                <c:pt idx="10">
                  <c:v>NY</c:v>
                </c:pt>
                <c:pt idx="11">
                  <c:v>MD</c:v>
                </c:pt>
                <c:pt idx="12">
                  <c:v>NC</c:v>
                </c:pt>
                <c:pt idx="13">
                  <c:v>VA</c:v>
                </c:pt>
                <c:pt idx="14">
                  <c:v>CA</c:v>
                </c:pt>
              </c:strCache>
            </c:strRef>
          </c:cat>
          <c:val>
            <c:numRef>
              <c:f>'Raw Data'!$D$11:$D$25</c:f>
              <c:numCache>
                <c:formatCode>General</c:formatCode>
                <c:ptCount val="15"/>
                <c:pt idx="0">
                  <c:v>30.71</c:v>
                </c:pt>
                <c:pt idx="1">
                  <c:v>26.74</c:v>
                </c:pt>
                <c:pt idx="2">
                  <c:v>25.48</c:v>
                </c:pt>
                <c:pt idx="3">
                  <c:v>25.1</c:v>
                </c:pt>
                <c:pt idx="4">
                  <c:v>24.77</c:v>
                </c:pt>
                <c:pt idx="5">
                  <c:v>24.56</c:v>
                </c:pt>
                <c:pt idx="6">
                  <c:v>23.83</c:v>
                </c:pt>
                <c:pt idx="7">
                  <c:v>23.6</c:v>
                </c:pt>
                <c:pt idx="8">
                  <c:v>23.03</c:v>
                </c:pt>
                <c:pt idx="9">
                  <c:v>22.38</c:v>
                </c:pt>
                <c:pt idx="10">
                  <c:v>21.77</c:v>
                </c:pt>
                <c:pt idx="11">
                  <c:v>21.6</c:v>
                </c:pt>
                <c:pt idx="12">
                  <c:v>21.01</c:v>
                </c:pt>
                <c:pt idx="13">
                  <c:v>20.79</c:v>
                </c:pt>
                <c:pt idx="14">
                  <c:v>20.72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14-8545-8415-25CEA34E5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47744"/>
        <c:axId val="152505856"/>
      </c:barChart>
      <c:catAx>
        <c:axId val="15044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05856"/>
        <c:crosses val="autoZero"/>
        <c:auto val="1"/>
        <c:lblAlgn val="ctr"/>
        <c:lblOffset val="100"/>
        <c:noMultiLvlLbl val="0"/>
      </c:catAx>
      <c:valAx>
        <c:axId val="1525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4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411253663222171"/>
          <c:y val="0.93899968503937004"/>
          <c:w val="0.69643680903523419"/>
          <c:h val="4.5000314960629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Default Rate Trend 1995-2014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Data'!$A$85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'Raw Data'!$A$86:$A$132</c:f>
              <c:numCache>
                <c:formatCode>General</c:formatCode>
                <c:ptCount val="47"/>
                <c:pt idx="0">
                  <c:v>1966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C-824B-B398-65A7D90A0AE2}"/>
            </c:ext>
          </c:extLst>
        </c:ser>
        <c:ser>
          <c:idx val="1"/>
          <c:order val="1"/>
          <c:tx>
            <c:strRef>
              <c:f>'Raw Data'!$B$85</c:f>
              <c:strCache>
                <c:ptCount val="1"/>
                <c:pt idx="0">
                  <c:v>total_loans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'Raw Data'!$B$86:$B$132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18</c:v>
                </c:pt>
                <c:pt idx="4">
                  <c:v>50</c:v>
                </c:pt>
                <c:pt idx="5">
                  <c:v>91</c:v>
                </c:pt>
                <c:pt idx="6">
                  <c:v>44</c:v>
                </c:pt>
                <c:pt idx="7">
                  <c:v>29</c:v>
                </c:pt>
                <c:pt idx="8">
                  <c:v>65</c:v>
                </c:pt>
                <c:pt idx="9">
                  <c:v>137</c:v>
                </c:pt>
                <c:pt idx="10">
                  <c:v>276</c:v>
                </c:pt>
                <c:pt idx="11">
                  <c:v>560</c:v>
                </c:pt>
                <c:pt idx="12">
                  <c:v>854</c:v>
                </c:pt>
                <c:pt idx="13">
                  <c:v>1142</c:v>
                </c:pt>
                <c:pt idx="14">
                  <c:v>1364</c:v>
                </c:pt>
                <c:pt idx="15">
                  <c:v>3319</c:v>
                </c:pt>
                <c:pt idx="16">
                  <c:v>4007</c:v>
                </c:pt>
                <c:pt idx="17">
                  <c:v>3881</c:v>
                </c:pt>
                <c:pt idx="18">
                  <c:v>4229</c:v>
                </c:pt>
                <c:pt idx="19">
                  <c:v>4424</c:v>
                </c:pt>
                <c:pt idx="20">
                  <c:v>3790</c:v>
                </c:pt>
                <c:pt idx="21">
                  <c:v>26462</c:v>
                </c:pt>
                <c:pt idx="22">
                  <c:v>29693</c:v>
                </c:pt>
                <c:pt idx="23">
                  <c:v>31296</c:v>
                </c:pt>
                <c:pt idx="24">
                  <c:v>34911</c:v>
                </c:pt>
                <c:pt idx="25">
                  <c:v>23266</c:v>
                </c:pt>
                <c:pt idx="26">
                  <c:v>31537</c:v>
                </c:pt>
                <c:pt idx="27">
                  <c:v>45618</c:v>
                </c:pt>
                <c:pt idx="28">
                  <c:v>39958</c:v>
                </c:pt>
                <c:pt idx="29">
                  <c:v>61456</c:v>
                </c:pt>
                <c:pt idx="30">
                  <c:v>71926</c:v>
                </c:pt>
                <c:pt idx="31">
                  <c:v>74626</c:v>
                </c:pt>
                <c:pt idx="32">
                  <c:v>74656</c:v>
                </c:pt>
                <c:pt idx="33">
                  <c:v>71372</c:v>
                </c:pt>
                <c:pt idx="34">
                  <c:v>44199</c:v>
                </c:pt>
                <c:pt idx="35">
                  <c:v>58097</c:v>
                </c:pt>
                <c:pt idx="36">
                  <c:v>73626</c:v>
                </c:pt>
                <c:pt idx="37">
                  <c:v>109970</c:v>
                </c:pt>
                <c:pt idx="38">
                  <c:v>141494</c:v>
                </c:pt>
                <c:pt idx="39">
                  <c:v>143287</c:v>
                </c:pt>
                <c:pt idx="40">
                  <c:v>78916</c:v>
                </c:pt>
                <c:pt idx="41">
                  <c:v>38206</c:v>
                </c:pt>
                <c:pt idx="42">
                  <c:v>33470</c:v>
                </c:pt>
                <c:pt idx="43">
                  <c:v>25055</c:v>
                </c:pt>
                <c:pt idx="44">
                  <c:v>5991</c:v>
                </c:pt>
                <c:pt idx="45">
                  <c:v>2454</c:v>
                </c:pt>
                <c:pt idx="46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CC-824B-B398-65A7D90A0AE2}"/>
            </c:ext>
          </c:extLst>
        </c:ser>
        <c:ser>
          <c:idx val="2"/>
          <c:order val="2"/>
          <c:tx>
            <c:strRef>
              <c:f>'Raw Data'!$C$85</c:f>
              <c:strCache>
                <c:ptCount val="1"/>
                <c:pt idx="0">
                  <c:v>total_defaults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'Raw Data'!$C$86:$C$132</c:f>
              <c:numCache>
                <c:formatCode>General</c:formatCode>
                <c:ptCount val="47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18</c:v>
                </c:pt>
                <c:pt idx="4">
                  <c:v>42</c:v>
                </c:pt>
                <c:pt idx="5">
                  <c:v>83</c:v>
                </c:pt>
                <c:pt idx="6">
                  <c:v>42</c:v>
                </c:pt>
                <c:pt idx="7">
                  <c:v>26</c:v>
                </c:pt>
                <c:pt idx="8">
                  <c:v>62</c:v>
                </c:pt>
                <c:pt idx="9">
                  <c:v>128</c:v>
                </c:pt>
                <c:pt idx="10">
                  <c:v>265</c:v>
                </c:pt>
                <c:pt idx="11">
                  <c:v>530</c:v>
                </c:pt>
                <c:pt idx="12">
                  <c:v>821</c:v>
                </c:pt>
                <c:pt idx="13">
                  <c:v>837</c:v>
                </c:pt>
                <c:pt idx="14">
                  <c:v>584</c:v>
                </c:pt>
                <c:pt idx="15">
                  <c:v>1053</c:v>
                </c:pt>
                <c:pt idx="16">
                  <c:v>1488</c:v>
                </c:pt>
                <c:pt idx="17">
                  <c:v>1570</c:v>
                </c:pt>
                <c:pt idx="18">
                  <c:v>1728</c:v>
                </c:pt>
                <c:pt idx="19">
                  <c:v>1926</c:v>
                </c:pt>
                <c:pt idx="20">
                  <c:v>1874</c:v>
                </c:pt>
                <c:pt idx="21">
                  <c:v>1726</c:v>
                </c:pt>
                <c:pt idx="22">
                  <c:v>1326</c:v>
                </c:pt>
                <c:pt idx="23">
                  <c:v>885</c:v>
                </c:pt>
                <c:pt idx="24">
                  <c:v>770</c:v>
                </c:pt>
                <c:pt idx="25">
                  <c:v>433</c:v>
                </c:pt>
                <c:pt idx="26">
                  <c:v>694</c:v>
                </c:pt>
                <c:pt idx="27">
                  <c:v>1292</c:v>
                </c:pt>
                <c:pt idx="28">
                  <c:v>1646</c:v>
                </c:pt>
                <c:pt idx="29">
                  <c:v>3772</c:v>
                </c:pt>
                <c:pt idx="30">
                  <c:v>5935</c:v>
                </c:pt>
                <c:pt idx="31">
                  <c:v>7386</c:v>
                </c:pt>
                <c:pt idx="32">
                  <c:v>8529</c:v>
                </c:pt>
                <c:pt idx="33">
                  <c:v>8542</c:v>
                </c:pt>
                <c:pt idx="34">
                  <c:v>5178</c:v>
                </c:pt>
                <c:pt idx="35">
                  <c:v>8454</c:v>
                </c:pt>
                <c:pt idx="36">
                  <c:v>13556</c:v>
                </c:pt>
                <c:pt idx="37">
                  <c:v>29723</c:v>
                </c:pt>
                <c:pt idx="38">
                  <c:v>50398</c:v>
                </c:pt>
                <c:pt idx="39">
                  <c:v>61314</c:v>
                </c:pt>
                <c:pt idx="40">
                  <c:v>32500</c:v>
                </c:pt>
                <c:pt idx="41">
                  <c:v>7942</c:v>
                </c:pt>
                <c:pt idx="42">
                  <c:v>4602</c:v>
                </c:pt>
                <c:pt idx="43">
                  <c:v>1968</c:v>
                </c:pt>
                <c:pt idx="44">
                  <c:v>343</c:v>
                </c:pt>
                <c:pt idx="45">
                  <c:v>70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CC-824B-B398-65A7D90A0AE2}"/>
            </c:ext>
          </c:extLst>
        </c:ser>
        <c:ser>
          <c:idx val="3"/>
          <c:order val="3"/>
          <c:tx>
            <c:strRef>
              <c:f>'Raw Data'!$D$85</c:f>
              <c:strCache>
                <c:ptCount val="1"/>
                <c:pt idx="0">
                  <c:v>default_rate_pct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'Raw Data'!$D$86:$D$132</c:f>
              <c:numCache>
                <c:formatCode>General</c:formatCode>
                <c:ptCount val="47"/>
                <c:pt idx="0">
                  <c:v>100</c:v>
                </c:pt>
                <c:pt idx="1">
                  <c:v>0</c:v>
                </c:pt>
                <c:pt idx="2">
                  <c:v>87.5</c:v>
                </c:pt>
                <c:pt idx="3">
                  <c:v>100</c:v>
                </c:pt>
                <c:pt idx="4">
                  <c:v>84</c:v>
                </c:pt>
                <c:pt idx="5">
                  <c:v>91.21</c:v>
                </c:pt>
                <c:pt idx="6">
                  <c:v>95.45</c:v>
                </c:pt>
                <c:pt idx="7">
                  <c:v>89.66</c:v>
                </c:pt>
                <c:pt idx="8">
                  <c:v>95.38</c:v>
                </c:pt>
                <c:pt idx="9">
                  <c:v>93.43</c:v>
                </c:pt>
                <c:pt idx="10">
                  <c:v>96.01</c:v>
                </c:pt>
                <c:pt idx="11">
                  <c:v>94.64</c:v>
                </c:pt>
                <c:pt idx="12">
                  <c:v>96.14</c:v>
                </c:pt>
                <c:pt idx="13">
                  <c:v>73.290000000000006</c:v>
                </c:pt>
                <c:pt idx="14">
                  <c:v>42.82</c:v>
                </c:pt>
                <c:pt idx="15">
                  <c:v>31.73</c:v>
                </c:pt>
                <c:pt idx="16">
                  <c:v>37.14</c:v>
                </c:pt>
                <c:pt idx="17">
                  <c:v>40.450000000000003</c:v>
                </c:pt>
                <c:pt idx="18">
                  <c:v>40.86</c:v>
                </c:pt>
                <c:pt idx="19">
                  <c:v>43.54</c:v>
                </c:pt>
                <c:pt idx="20">
                  <c:v>49.45</c:v>
                </c:pt>
                <c:pt idx="21">
                  <c:v>6.52</c:v>
                </c:pt>
                <c:pt idx="22">
                  <c:v>4.47</c:v>
                </c:pt>
                <c:pt idx="23">
                  <c:v>2.83</c:v>
                </c:pt>
                <c:pt idx="24">
                  <c:v>2.21</c:v>
                </c:pt>
                <c:pt idx="25">
                  <c:v>1.86</c:v>
                </c:pt>
                <c:pt idx="26">
                  <c:v>2.2000000000000002</c:v>
                </c:pt>
                <c:pt idx="27">
                  <c:v>2.83</c:v>
                </c:pt>
                <c:pt idx="28">
                  <c:v>4.12</c:v>
                </c:pt>
                <c:pt idx="29">
                  <c:v>6.14</c:v>
                </c:pt>
                <c:pt idx="30">
                  <c:v>8.25</c:v>
                </c:pt>
                <c:pt idx="31">
                  <c:v>9.9</c:v>
                </c:pt>
                <c:pt idx="32">
                  <c:v>11.42</c:v>
                </c:pt>
                <c:pt idx="33">
                  <c:v>11.97</c:v>
                </c:pt>
                <c:pt idx="34">
                  <c:v>11.72</c:v>
                </c:pt>
                <c:pt idx="35">
                  <c:v>14.55</c:v>
                </c:pt>
                <c:pt idx="36">
                  <c:v>18.41</c:v>
                </c:pt>
                <c:pt idx="37">
                  <c:v>27.03</c:v>
                </c:pt>
                <c:pt idx="38">
                  <c:v>35.619999999999997</c:v>
                </c:pt>
                <c:pt idx="39">
                  <c:v>42.79</c:v>
                </c:pt>
                <c:pt idx="40">
                  <c:v>41.18</c:v>
                </c:pt>
                <c:pt idx="41">
                  <c:v>20.79</c:v>
                </c:pt>
                <c:pt idx="42">
                  <c:v>13.75</c:v>
                </c:pt>
                <c:pt idx="43">
                  <c:v>7.85</c:v>
                </c:pt>
                <c:pt idx="44">
                  <c:v>5.73</c:v>
                </c:pt>
                <c:pt idx="45">
                  <c:v>2.85</c:v>
                </c:pt>
                <c:pt idx="46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CC-824B-B398-65A7D90A0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90176"/>
        <c:axId val="159293760"/>
      </c:lineChart>
      <c:catAx>
        <c:axId val="159290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3760"/>
        <c:crosses val="autoZero"/>
        <c:auto val="1"/>
        <c:lblAlgn val="ctr"/>
        <c:lblOffset val="100"/>
        <c:noMultiLvlLbl val="0"/>
      </c:catAx>
      <c:valAx>
        <c:axId val="1592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Default Rate by State (Top 10)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Data'!$B$10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Data'!$A$11:$A$25</c:f>
              <c:strCache>
                <c:ptCount val="15"/>
                <c:pt idx="0">
                  <c:v>FL</c:v>
                </c:pt>
                <c:pt idx="1">
                  <c:v>GA</c:v>
                </c:pt>
                <c:pt idx="2">
                  <c:v>NV</c:v>
                </c:pt>
                <c:pt idx="3">
                  <c:v>IL</c:v>
                </c:pt>
                <c:pt idx="4">
                  <c:v>DC</c:v>
                </c:pt>
                <c:pt idx="5">
                  <c:v>MI</c:v>
                </c:pt>
                <c:pt idx="6">
                  <c:v>TN</c:v>
                </c:pt>
                <c:pt idx="7">
                  <c:v>AZ</c:v>
                </c:pt>
                <c:pt idx="8">
                  <c:v>SC</c:v>
                </c:pt>
                <c:pt idx="9">
                  <c:v>NJ</c:v>
                </c:pt>
                <c:pt idx="10">
                  <c:v>NY</c:v>
                </c:pt>
                <c:pt idx="11">
                  <c:v>MD</c:v>
                </c:pt>
                <c:pt idx="12">
                  <c:v>NC</c:v>
                </c:pt>
                <c:pt idx="13">
                  <c:v>VA</c:v>
                </c:pt>
                <c:pt idx="14">
                  <c:v>CA</c:v>
                </c:pt>
              </c:strCache>
            </c:strRef>
          </c:cat>
          <c:val>
            <c:numRef>
              <c:f>'Raw Data'!$B$11:$B$25</c:f>
              <c:numCache>
                <c:formatCode>General</c:formatCode>
                <c:ptCount val="15"/>
                <c:pt idx="0">
                  <c:v>65453</c:v>
                </c:pt>
                <c:pt idx="1">
                  <c:v>35593</c:v>
                </c:pt>
                <c:pt idx="2">
                  <c:v>12616</c:v>
                </c:pt>
                <c:pt idx="3">
                  <c:v>47746</c:v>
                </c:pt>
                <c:pt idx="4">
                  <c:v>2398</c:v>
                </c:pt>
                <c:pt idx="5">
                  <c:v>33385</c:v>
                </c:pt>
                <c:pt idx="6">
                  <c:v>14745</c:v>
                </c:pt>
                <c:pt idx="7">
                  <c:v>27903</c:v>
                </c:pt>
                <c:pt idx="8">
                  <c:v>8741</c:v>
                </c:pt>
                <c:pt idx="9">
                  <c:v>37405</c:v>
                </c:pt>
                <c:pt idx="10">
                  <c:v>92457</c:v>
                </c:pt>
                <c:pt idx="11">
                  <c:v>20634</c:v>
                </c:pt>
                <c:pt idx="12">
                  <c:v>22745</c:v>
                </c:pt>
                <c:pt idx="13">
                  <c:v>20896</c:v>
                </c:pt>
                <c:pt idx="14">
                  <c:v>203234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3-9D4A-923B-E066C560243D}"/>
            </c:ext>
          </c:extLst>
        </c:ser>
        <c:ser>
          <c:idx val="1"/>
          <c:order val="1"/>
          <c:tx>
            <c:strRef>
              <c:f>'Raw Data'!$C$10</c:f>
              <c:strCache>
                <c:ptCount val="1"/>
                <c:pt idx="0">
                  <c:v>total_defaults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'Raw Data'!$A$11:$A$25</c:f>
              <c:strCache>
                <c:ptCount val="15"/>
                <c:pt idx="0">
                  <c:v>FL</c:v>
                </c:pt>
                <c:pt idx="1">
                  <c:v>GA</c:v>
                </c:pt>
                <c:pt idx="2">
                  <c:v>NV</c:v>
                </c:pt>
                <c:pt idx="3">
                  <c:v>IL</c:v>
                </c:pt>
                <c:pt idx="4">
                  <c:v>DC</c:v>
                </c:pt>
                <c:pt idx="5">
                  <c:v>MI</c:v>
                </c:pt>
                <c:pt idx="6">
                  <c:v>TN</c:v>
                </c:pt>
                <c:pt idx="7">
                  <c:v>AZ</c:v>
                </c:pt>
                <c:pt idx="8">
                  <c:v>SC</c:v>
                </c:pt>
                <c:pt idx="9">
                  <c:v>NJ</c:v>
                </c:pt>
                <c:pt idx="10">
                  <c:v>NY</c:v>
                </c:pt>
                <c:pt idx="11">
                  <c:v>MD</c:v>
                </c:pt>
                <c:pt idx="12">
                  <c:v>NC</c:v>
                </c:pt>
                <c:pt idx="13">
                  <c:v>VA</c:v>
                </c:pt>
                <c:pt idx="14">
                  <c:v>CA</c:v>
                </c:pt>
              </c:strCache>
            </c:strRef>
          </c:cat>
          <c:val>
            <c:numRef>
              <c:f>'Raw Data'!$C$11:$C$25</c:f>
              <c:numCache>
                <c:formatCode>General</c:formatCode>
                <c:ptCount val="15"/>
                <c:pt idx="0">
                  <c:v>20103</c:v>
                </c:pt>
                <c:pt idx="1">
                  <c:v>9517</c:v>
                </c:pt>
                <c:pt idx="2">
                  <c:v>3214</c:v>
                </c:pt>
                <c:pt idx="3">
                  <c:v>11984</c:v>
                </c:pt>
                <c:pt idx="4">
                  <c:v>594</c:v>
                </c:pt>
                <c:pt idx="5">
                  <c:v>8199</c:v>
                </c:pt>
                <c:pt idx="6">
                  <c:v>3513</c:v>
                </c:pt>
                <c:pt idx="7">
                  <c:v>6584</c:v>
                </c:pt>
                <c:pt idx="8">
                  <c:v>2013</c:v>
                </c:pt>
                <c:pt idx="9">
                  <c:v>8371</c:v>
                </c:pt>
                <c:pt idx="10">
                  <c:v>20125</c:v>
                </c:pt>
                <c:pt idx="11">
                  <c:v>4457</c:v>
                </c:pt>
                <c:pt idx="12">
                  <c:v>4779</c:v>
                </c:pt>
                <c:pt idx="13">
                  <c:v>4344</c:v>
                </c:pt>
                <c:pt idx="14">
                  <c:v>42107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3-9D4A-923B-E066C560243D}"/>
            </c:ext>
          </c:extLst>
        </c:ser>
        <c:ser>
          <c:idx val="2"/>
          <c:order val="2"/>
          <c:tx>
            <c:strRef>
              <c:f>'Raw Data'!$D$10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'Raw Data'!$A$11:$A$25</c:f>
              <c:strCache>
                <c:ptCount val="15"/>
                <c:pt idx="0">
                  <c:v>FL</c:v>
                </c:pt>
                <c:pt idx="1">
                  <c:v>GA</c:v>
                </c:pt>
                <c:pt idx="2">
                  <c:v>NV</c:v>
                </c:pt>
                <c:pt idx="3">
                  <c:v>IL</c:v>
                </c:pt>
                <c:pt idx="4">
                  <c:v>DC</c:v>
                </c:pt>
                <c:pt idx="5">
                  <c:v>MI</c:v>
                </c:pt>
                <c:pt idx="6">
                  <c:v>TN</c:v>
                </c:pt>
                <c:pt idx="7">
                  <c:v>AZ</c:v>
                </c:pt>
                <c:pt idx="8">
                  <c:v>SC</c:v>
                </c:pt>
                <c:pt idx="9">
                  <c:v>NJ</c:v>
                </c:pt>
                <c:pt idx="10">
                  <c:v>NY</c:v>
                </c:pt>
                <c:pt idx="11">
                  <c:v>MD</c:v>
                </c:pt>
                <c:pt idx="12">
                  <c:v>NC</c:v>
                </c:pt>
                <c:pt idx="13">
                  <c:v>VA</c:v>
                </c:pt>
                <c:pt idx="14">
                  <c:v>CA</c:v>
                </c:pt>
              </c:strCache>
            </c:strRef>
          </c:cat>
          <c:val>
            <c:numRef>
              <c:f>'Raw Data'!$D$11:$D$25</c:f>
              <c:numCache>
                <c:formatCode>General</c:formatCode>
                <c:ptCount val="15"/>
                <c:pt idx="0">
                  <c:v>30.71</c:v>
                </c:pt>
                <c:pt idx="1">
                  <c:v>26.74</c:v>
                </c:pt>
                <c:pt idx="2">
                  <c:v>25.48</c:v>
                </c:pt>
                <c:pt idx="3">
                  <c:v>25.1</c:v>
                </c:pt>
                <c:pt idx="4">
                  <c:v>24.77</c:v>
                </c:pt>
                <c:pt idx="5">
                  <c:v>24.56</c:v>
                </c:pt>
                <c:pt idx="6">
                  <c:v>23.83</c:v>
                </c:pt>
                <c:pt idx="7">
                  <c:v>23.6</c:v>
                </c:pt>
                <c:pt idx="8">
                  <c:v>23.03</c:v>
                </c:pt>
                <c:pt idx="9">
                  <c:v>22.38</c:v>
                </c:pt>
                <c:pt idx="10">
                  <c:v>21.77</c:v>
                </c:pt>
                <c:pt idx="11">
                  <c:v>21.6</c:v>
                </c:pt>
                <c:pt idx="12">
                  <c:v>21.01</c:v>
                </c:pt>
                <c:pt idx="13">
                  <c:v>20.79</c:v>
                </c:pt>
                <c:pt idx="14">
                  <c:v>20.72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3-9D4A-923B-E066C5602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47744"/>
        <c:axId val="152505856"/>
      </c:barChart>
      <c:catAx>
        <c:axId val="15044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05856"/>
        <c:crosses val="autoZero"/>
        <c:auto val="1"/>
        <c:lblAlgn val="ctr"/>
        <c:lblOffset val="100"/>
        <c:noMultiLvlLbl val="0"/>
      </c:catAx>
      <c:valAx>
        <c:axId val="1525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4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411253663222171"/>
          <c:y val="0.93899968503937004"/>
          <c:w val="0.69643680903523419"/>
          <c:h val="4.5000314960629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Size vs Default Rate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Data'!$B$50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Data'!$A$51:$A$54</c:f>
              <c:strCache>
                <c:ptCount val="4"/>
                <c:pt idx="0">
                  <c:v>1. Small (Under 50K)</c:v>
                </c:pt>
                <c:pt idx="1">
                  <c:v>2. Medium (50K-150K)</c:v>
                </c:pt>
                <c:pt idx="2">
                  <c:v>3. Large (150K-500K)</c:v>
                </c:pt>
                <c:pt idx="3">
                  <c:v>4. Very Large (500K+)</c:v>
                </c:pt>
              </c:strCache>
            </c:strRef>
          </c:cat>
          <c:val>
            <c:numRef>
              <c:f>'Raw Data'!$B$51:$B$54</c:f>
              <c:numCache>
                <c:formatCode>General</c:formatCode>
                <c:ptCount val="4"/>
                <c:pt idx="0">
                  <c:v>782180</c:v>
                </c:pt>
                <c:pt idx="1">
                  <c:v>323434</c:v>
                </c:pt>
                <c:pt idx="2">
                  <c:v>207659</c:v>
                </c:pt>
                <c:pt idx="3">
                  <c:v>86827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F-A14C-A40F-A94732257B47}"/>
            </c:ext>
          </c:extLst>
        </c:ser>
        <c:ser>
          <c:idx val="1"/>
          <c:order val="1"/>
          <c:tx>
            <c:strRef>
              <c:f>'Raw Data'!$C$50</c:f>
              <c:strCache>
                <c:ptCount val="1"/>
                <c:pt idx="0">
                  <c:v>total_defaults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'Raw Data'!$A$51:$A$54</c:f>
              <c:strCache>
                <c:ptCount val="4"/>
                <c:pt idx="0">
                  <c:v>1. Small (Under 50K)</c:v>
                </c:pt>
                <c:pt idx="1">
                  <c:v>2. Medium (50K-150K)</c:v>
                </c:pt>
                <c:pt idx="2">
                  <c:v>3. Large (150K-500K)</c:v>
                </c:pt>
                <c:pt idx="3">
                  <c:v>4. Very Large (500K+)</c:v>
                </c:pt>
              </c:strCache>
            </c:strRef>
          </c:cat>
          <c:val>
            <c:numRef>
              <c:f>'Raw Data'!$C$51:$C$54</c:f>
              <c:numCache>
                <c:formatCode>General</c:formatCode>
                <c:ptCount val="4"/>
                <c:pt idx="0">
                  <c:v>187568</c:v>
                </c:pt>
                <c:pt idx="1">
                  <c:v>56262</c:v>
                </c:pt>
                <c:pt idx="2">
                  <c:v>20799</c:v>
                </c:pt>
                <c:pt idx="3">
                  <c:v>7445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F-A14C-A40F-A94732257B47}"/>
            </c:ext>
          </c:extLst>
        </c:ser>
        <c:ser>
          <c:idx val="2"/>
          <c:order val="2"/>
          <c:tx>
            <c:strRef>
              <c:f>'Raw Data'!$D$50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'Raw Data'!$A$51:$A$54</c:f>
              <c:strCache>
                <c:ptCount val="4"/>
                <c:pt idx="0">
                  <c:v>1. Small (Under 50K)</c:v>
                </c:pt>
                <c:pt idx="1">
                  <c:v>2. Medium (50K-150K)</c:v>
                </c:pt>
                <c:pt idx="2">
                  <c:v>3. Large (150K-500K)</c:v>
                </c:pt>
                <c:pt idx="3">
                  <c:v>4. Very Large (500K+)</c:v>
                </c:pt>
              </c:strCache>
            </c:strRef>
          </c:cat>
          <c:val>
            <c:numRef>
              <c:f>'Raw Data'!$D$51:$D$54</c:f>
              <c:numCache>
                <c:formatCode>General</c:formatCode>
                <c:ptCount val="4"/>
                <c:pt idx="0">
                  <c:v>23.98</c:v>
                </c:pt>
                <c:pt idx="1">
                  <c:v>17.399999999999999</c:v>
                </c:pt>
                <c:pt idx="2">
                  <c:v>10.02</c:v>
                </c:pt>
                <c:pt idx="3">
                  <c:v>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6F-A14C-A40F-A94732257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525824"/>
        <c:axId val="2147143167"/>
      </c:barChart>
      <c:catAx>
        <c:axId val="15252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143167"/>
        <c:crosses val="autoZero"/>
        <c:auto val="1"/>
        <c:lblAlgn val="ctr"/>
        <c:lblOffset val="100"/>
        <c:noMultiLvlLbl val="0"/>
      </c:catAx>
      <c:valAx>
        <c:axId val="214714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2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16173902386717"/>
          <c:y val="0.92851525590551176"/>
          <c:w val="0.62903826710377164"/>
          <c:h val="5.2734744094488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Default Rate Trend 1995-2014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Data'!$A$85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'Raw Data'!$A$86:$A$132</c:f>
              <c:numCache>
                <c:formatCode>General</c:formatCode>
                <c:ptCount val="47"/>
                <c:pt idx="0">
                  <c:v>1966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3-1E4E-93E0-F525159BE986}"/>
            </c:ext>
          </c:extLst>
        </c:ser>
        <c:ser>
          <c:idx val="1"/>
          <c:order val="1"/>
          <c:tx>
            <c:strRef>
              <c:f>'Raw Data'!$B$85</c:f>
              <c:strCache>
                <c:ptCount val="1"/>
                <c:pt idx="0">
                  <c:v>total_loans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'Raw Data'!$B$86:$B$132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18</c:v>
                </c:pt>
                <c:pt idx="4">
                  <c:v>50</c:v>
                </c:pt>
                <c:pt idx="5">
                  <c:v>91</c:v>
                </c:pt>
                <c:pt idx="6">
                  <c:v>44</c:v>
                </c:pt>
                <c:pt idx="7">
                  <c:v>29</c:v>
                </c:pt>
                <c:pt idx="8">
                  <c:v>65</c:v>
                </c:pt>
                <c:pt idx="9">
                  <c:v>137</c:v>
                </c:pt>
                <c:pt idx="10">
                  <c:v>276</c:v>
                </c:pt>
                <c:pt idx="11">
                  <c:v>560</c:v>
                </c:pt>
                <c:pt idx="12">
                  <c:v>854</c:v>
                </c:pt>
                <c:pt idx="13">
                  <c:v>1142</c:v>
                </c:pt>
                <c:pt idx="14">
                  <c:v>1364</c:v>
                </c:pt>
                <c:pt idx="15">
                  <c:v>3319</c:v>
                </c:pt>
                <c:pt idx="16">
                  <c:v>4007</c:v>
                </c:pt>
                <c:pt idx="17">
                  <c:v>3881</c:v>
                </c:pt>
                <c:pt idx="18">
                  <c:v>4229</c:v>
                </c:pt>
                <c:pt idx="19">
                  <c:v>4424</c:v>
                </c:pt>
                <c:pt idx="20">
                  <c:v>3790</c:v>
                </c:pt>
                <c:pt idx="21">
                  <c:v>26462</c:v>
                </c:pt>
                <c:pt idx="22">
                  <c:v>29693</c:v>
                </c:pt>
                <c:pt idx="23">
                  <c:v>31296</c:v>
                </c:pt>
                <c:pt idx="24">
                  <c:v>34911</c:v>
                </c:pt>
                <c:pt idx="25">
                  <c:v>23266</c:v>
                </c:pt>
                <c:pt idx="26">
                  <c:v>31537</c:v>
                </c:pt>
                <c:pt idx="27">
                  <c:v>45618</c:v>
                </c:pt>
                <c:pt idx="28">
                  <c:v>39958</c:v>
                </c:pt>
                <c:pt idx="29">
                  <c:v>61456</c:v>
                </c:pt>
                <c:pt idx="30">
                  <c:v>71926</c:v>
                </c:pt>
                <c:pt idx="31">
                  <c:v>74626</c:v>
                </c:pt>
                <c:pt idx="32">
                  <c:v>74656</c:v>
                </c:pt>
                <c:pt idx="33">
                  <c:v>71372</c:v>
                </c:pt>
                <c:pt idx="34">
                  <c:v>44199</c:v>
                </c:pt>
                <c:pt idx="35">
                  <c:v>58097</c:v>
                </c:pt>
                <c:pt idx="36">
                  <c:v>73626</c:v>
                </c:pt>
                <c:pt idx="37">
                  <c:v>109970</c:v>
                </c:pt>
                <c:pt idx="38">
                  <c:v>141494</c:v>
                </c:pt>
                <c:pt idx="39">
                  <c:v>143287</c:v>
                </c:pt>
                <c:pt idx="40">
                  <c:v>78916</c:v>
                </c:pt>
                <c:pt idx="41">
                  <c:v>38206</c:v>
                </c:pt>
                <c:pt idx="42">
                  <c:v>33470</c:v>
                </c:pt>
                <c:pt idx="43">
                  <c:v>25055</c:v>
                </c:pt>
                <c:pt idx="44">
                  <c:v>5991</c:v>
                </c:pt>
                <c:pt idx="45">
                  <c:v>2454</c:v>
                </c:pt>
                <c:pt idx="46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73-1E4E-93E0-F525159BE986}"/>
            </c:ext>
          </c:extLst>
        </c:ser>
        <c:ser>
          <c:idx val="2"/>
          <c:order val="2"/>
          <c:tx>
            <c:strRef>
              <c:f>'Raw Data'!$C$85</c:f>
              <c:strCache>
                <c:ptCount val="1"/>
                <c:pt idx="0">
                  <c:v>total_defaults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'Raw Data'!$C$86:$C$132</c:f>
              <c:numCache>
                <c:formatCode>General</c:formatCode>
                <c:ptCount val="47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18</c:v>
                </c:pt>
                <c:pt idx="4">
                  <c:v>42</c:v>
                </c:pt>
                <c:pt idx="5">
                  <c:v>83</c:v>
                </c:pt>
                <c:pt idx="6">
                  <c:v>42</c:v>
                </c:pt>
                <c:pt idx="7">
                  <c:v>26</c:v>
                </c:pt>
                <c:pt idx="8">
                  <c:v>62</c:v>
                </c:pt>
                <c:pt idx="9">
                  <c:v>128</c:v>
                </c:pt>
                <c:pt idx="10">
                  <c:v>265</c:v>
                </c:pt>
                <c:pt idx="11">
                  <c:v>530</c:v>
                </c:pt>
                <c:pt idx="12">
                  <c:v>821</c:v>
                </c:pt>
                <c:pt idx="13">
                  <c:v>837</c:v>
                </c:pt>
                <c:pt idx="14">
                  <c:v>584</c:v>
                </c:pt>
                <c:pt idx="15">
                  <c:v>1053</c:v>
                </c:pt>
                <c:pt idx="16">
                  <c:v>1488</c:v>
                </c:pt>
                <c:pt idx="17">
                  <c:v>1570</c:v>
                </c:pt>
                <c:pt idx="18">
                  <c:v>1728</c:v>
                </c:pt>
                <c:pt idx="19">
                  <c:v>1926</c:v>
                </c:pt>
                <c:pt idx="20">
                  <c:v>1874</c:v>
                </c:pt>
                <c:pt idx="21">
                  <c:v>1726</c:v>
                </c:pt>
                <c:pt idx="22">
                  <c:v>1326</c:v>
                </c:pt>
                <c:pt idx="23">
                  <c:v>885</c:v>
                </c:pt>
                <c:pt idx="24">
                  <c:v>770</c:v>
                </c:pt>
                <c:pt idx="25">
                  <c:v>433</c:v>
                </c:pt>
                <c:pt idx="26">
                  <c:v>694</c:v>
                </c:pt>
                <c:pt idx="27">
                  <c:v>1292</c:v>
                </c:pt>
                <c:pt idx="28">
                  <c:v>1646</c:v>
                </c:pt>
                <c:pt idx="29">
                  <c:v>3772</c:v>
                </c:pt>
                <c:pt idx="30">
                  <c:v>5935</c:v>
                </c:pt>
                <c:pt idx="31">
                  <c:v>7386</c:v>
                </c:pt>
                <c:pt idx="32">
                  <c:v>8529</c:v>
                </c:pt>
                <c:pt idx="33">
                  <c:v>8542</c:v>
                </c:pt>
                <c:pt idx="34">
                  <c:v>5178</c:v>
                </c:pt>
                <c:pt idx="35">
                  <c:v>8454</c:v>
                </c:pt>
                <c:pt idx="36">
                  <c:v>13556</c:v>
                </c:pt>
                <c:pt idx="37">
                  <c:v>29723</c:v>
                </c:pt>
                <c:pt idx="38">
                  <c:v>50398</c:v>
                </c:pt>
                <c:pt idx="39">
                  <c:v>61314</c:v>
                </c:pt>
                <c:pt idx="40">
                  <c:v>32500</c:v>
                </c:pt>
                <c:pt idx="41">
                  <c:v>7942</c:v>
                </c:pt>
                <c:pt idx="42">
                  <c:v>4602</c:v>
                </c:pt>
                <c:pt idx="43">
                  <c:v>1968</c:v>
                </c:pt>
                <c:pt idx="44">
                  <c:v>343</c:v>
                </c:pt>
                <c:pt idx="45">
                  <c:v>70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73-1E4E-93E0-F525159BE986}"/>
            </c:ext>
          </c:extLst>
        </c:ser>
        <c:ser>
          <c:idx val="3"/>
          <c:order val="3"/>
          <c:tx>
            <c:strRef>
              <c:f>'Raw Data'!$D$85</c:f>
              <c:strCache>
                <c:ptCount val="1"/>
                <c:pt idx="0">
                  <c:v>default_rate_pct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'Raw Data'!$D$86:$D$132</c:f>
              <c:numCache>
                <c:formatCode>General</c:formatCode>
                <c:ptCount val="47"/>
                <c:pt idx="0">
                  <c:v>100</c:v>
                </c:pt>
                <c:pt idx="1">
                  <c:v>0</c:v>
                </c:pt>
                <c:pt idx="2">
                  <c:v>87.5</c:v>
                </c:pt>
                <c:pt idx="3">
                  <c:v>100</c:v>
                </c:pt>
                <c:pt idx="4">
                  <c:v>84</c:v>
                </c:pt>
                <c:pt idx="5">
                  <c:v>91.21</c:v>
                </c:pt>
                <c:pt idx="6">
                  <c:v>95.45</c:v>
                </c:pt>
                <c:pt idx="7">
                  <c:v>89.66</c:v>
                </c:pt>
                <c:pt idx="8">
                  <c:v>95.38</c:v>
                </c:pt>
                <c:pt idx="9">
                  <c:v>93.43</c:v>
                </c:pt>
                <c:pt idx="10">
                  <c:v>96.01</c:v>
                </c:pt>
                <c:pt idx="11">
                  <c:v>94.64</c:v>
                </c:pt>
                <c:pt idx="12">
                  <c:v>96.14</c:v>
                </c:pt>
                <c:pt idx="13">
                  <c:v>73.290000000000006</c:v>
                </c:pt>
                <c:pt idx="14">
                  <c:v>42.82</c:v>
                </c:pt>
                <c:pt idx="15">
                  <c:v>31.73</c:v>
                </c:pt>
                <c:pt idx="16">
                  <c:v>37.14</c:v>
                </c:pt>
                <c:pt idx="17">
                  <c:v>40.450000000000003</c:v>
                </c:pt>
                <c:pt idx="18">
                  <c:v>40.86</c:v>
                </c:pt>
                <c:pt idx="19">
                  <c:v>43.54</c:v>
                </c:pt>
                <c:pt idx="20">
                  <c:v>49.45</c:v>
                </c:pt>
                <c:pt idx="21">
                  <c:v>6.52</c:v>
                </c:pt>
                <c:pt idx="22">
                  <c:v>4.47</c:v>
                </c:pt>
                <c:pt idx="23">
                  <c:v>2.83</c:v>
                </c:pt>
                <c:pt idx="24">
                  <c:v>2.21</c:v>
                </c:pt>
                <c:pt idx="25">
                  <c:v>1.86</c:v>
                </c:pt>
                <c:pt idx="26">
                  <c:v>2.2000000000000002</c:v>
                </c:pt>
                <c:pt idx="27">
                  <c:v>2.83</c:v>
                </c:pt>
                <c:pt idx="28">
                  <c:v>4.12</c:v>
                </c:pt>
                <c:pt idx="29">
                  <c:v>6.14</c:v>
                </c:pt>
                <c:pt idx="30">
                  <c:v>8.25</c:v>
                </c:pt>
                <c:pt idx="31">
                  <c:v>9.9</c:v>
                </c:pt>
                <c:pt idx="32">
                  <c:v>11.42</c:v>
                </c:pt>
                <c:pt idx="33">
                  <c:v>11.97</c:v>
                </c:pt>
                <c:pt idx="34">
                  <c:v>11.72</c:v>
                </c:pt>
                <c:pt idx="35">
                  <c:v>14.55</c:v>
                </c:pt>
                <c:pt idx="36">
                  <c:v>18.41</c:v>
                </c:pt>
                <c:pt idx="37">
                  <c:v>27.03</c:v>
                </c:pt>
                <c:pt idx="38">
                  <c:v>35.619999999999997</c:v>
                </c:pt>
                <c:pt idx="39">
                  <c:v>42.79</c:v>
                </c:pt>
                <c:pt idx="40">
                  <c:v>41.18</c:v>
                </c:pt>
                <c:pt idx="41">
                  <c:v>20.79</c:v>
                </c:pt>
                <c:pt idx="42">
                  <c:v>13.75</c:v>
                </c:pt>
                <c:pt idx="43">
                  <c:v>7.85</c:v>
                </c:pt>
                <c:pt idx="44">
                  <c:v>5.73</c:v>
                </c:pt>
                <c:pt idx="45">
                  <c:v>2.85</c:v>
                </c:pt>
                <c:pt idx="46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73-1E4E-93E0-F525159BE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90176"/>
        <c:axId val="159293760"/>
      </c:lineChart>
      <c:catAx>
        <c:axId val="159290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3760"/>
        <c:crosses val="autoZero"/>
        <c:auto val="1"/>
        <c:lblAlgn val="ctr"/>
        <c:lblOffset val="100"/>
        <c:noMultiLvlLbl val="0"/>
      </c:catAx>
      <c:valAx>
        <c:axId val="1592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Overall Loan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2"/>
          <c:order val="0"/>
          <c:tx>
            <c:strRef>
              <c:f>'Raw Data'!$C$1</c:f>
              <c:strCache>
                <c:ptCount val="1"/>
                <c:pt idx="0">
                  <c:v>percentage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'Raw Data'!$A$2:$A$3</c:f>
              <c:strCache>
                <c:ptCount val="2"/>
                <c:pt idx="0">
                  <c:v>P I F</c:v>
                </c:pt>
                <c:pt idx="1">
                  <c:v>CHGOFF</c:v>
                </c:pt>
              </c:strCache>
            </c:strRef>
          </c:cat>
          <c:val>
            <c:numRef>
              <c:f>'Raw Data'!$C$2:$C$3</c:f>
              <c:numCache>
                <c:formatCode>General</c:formatCode>
                <c:ptCount val="2"/>
                <c:pt idx="0">
                  <c:v>80.489999999999995</c:v>
                </c:pt>
                <c:pt idx="1">
                  <c:v>19.41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0-984F-9B39-6C55B3946A31}"/>
            </c:ext>
          </c:extLst>
        </c:ser>
        <c:ser>
          <c:idx val="0"/>
          <c:order val="1"/>
          <c:tx>
            <c:strRef>
              <c:f>'Raw Data'!$A$2</c:f>
              <c:strCache>
                <c:ptCount val="1"/>
                <c:pt idx="0">
                  <c:v>P I 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540-984F-9B39-6C55B3946A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'Raw Data'!$C$2</c:f>
              <c:numCache>
                <c:formatCode>General</c:formatCode>
                <c:ptCount val="1"/>
                <c:pt idx="0">
                  <c:v>80.489999999999995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40-984F-9B39-6C55B3946A31}"/>
            </c:ext>
          </c:extLst>
        </c:ser>
        <c:ser>
          <c:idx val="1"/>
          <c:order val="2"/>
          <c:tx>
            <c:strRef>
              <c:f>'Raw Data'!$A$3</c:f>
              <c:strCache>
                <c:ptCount val="1"/>
                <c:pt idx="0">
                  <c:v>CHGOFF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40-984F-9B39-6C55B3946A31}"/>
              </c:ext>
            </c:extLst>
          </c:dPt>
          <c:val>
            <c:numRef>
              <c:f>'Raw Data'!$C$3</c:f>
              <c:numCache>
                <c:formatCode>General</c:formatCode>
                <c:ptCount val="1"/>
                <c:pt idx="0">
                  <c:v>19.41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40-984F-9B39-6C55B3946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7</xdr:row>
      <xdr:rowOff>19098</xdr:rowOff>
    </xdr:from>
    <xdr:to>
      <xdr:col>6</xdr:col>
      <xdr:colOff>67733</xdr:colOff>
      <xdr:row>20</xdr:row>
      <xdr:rowOff>192425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A337F-26FD-5442-8C1F-02C2F9818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79059</xdr:colOff>
      <xdr:row>7</xdr:row>
      <xdr:rowOff>20482</xdr:rowOff>
    </xdr:from>
    <xdr:to>
      <xdr:col>10</xdr:col>
      <xdr:colOff>821267</xdr:colOff>
      <xdr:row>20</xdr:row>
      <xdr:rowOff>192425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46EC7BB4-63AD-A74E-B097-B27711608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402469</xdr:colOff>
      <xdr:row>1</xdr:row>
      <xdr:rowOff>129216</xdr:rowOff>
    </xdr:from>
    <xdr:to>
      <xdr:col>12</xdr:col>
      <xdr:colOff>60476</xdr:colOff>
      <xdr:row>30</xdr:row>
      <xdr:rowOff>161269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7AF6DCA-BE3C-676D-AFF2-FFDCA6C61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349452</xdr:colOff>
      <xdr:row>33</xdr:row>
      <xdr:rowOff>17940</xdr:rowOff>
    </xdr:from>
    <xdr:to>
      <xdr:col>12</xdr:col>
      <xdr:colOff>40318</xdr:colOff>
      <xdr:row>55</xdr:row>
      <xdr:rowOff>161268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E91FD8E-74AA-240F-887C-59CE73CCD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806349</xdr:colOff>
      <xdr:row>1</xdr:row>
      <xdr:rowOff>69535</xdr:rowOff>
    </xdr:from>
    <xdr:to>
      <xdr:col>23</xdr:col>
      <xdr:colOff>568319</xdr:colOff>
      <xdr:row>31</xdr:row>
      <xdr:rowOff>100794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5CACF0C2-3D97-934C-859B-7B8313012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819342</xdr:colOff>
      <xdr:row>33</xdr:row>
      <xdr:rowOff>95646</xdr:rowOff>
    </xdr:from>
    <xdr:to>
      <xdr:col>23</xdr:col>
      <xdr:colOff>302380</xdr:colOff>
      <xdr:row>55</xdr:row>
      <xdr:rowOff>40317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AD873C-EFF5-DC73-FCD2-4D5085C2E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1_overall_default_1" connectionId="1" xr16:uid="{452E9210-879F-1845-B6BA-C760CFC30ED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5_newexist_default" connectionId="5" xr16:uid="{431A9427-D888-0A49-9D8D-386E2966756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4_loansize_default" connectionId="4" xr16:uid="{DFA9D9A5-D517-1D46-8D65-A1BE2E7F6E6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3_industry_default" connectionId="3" xr16:uid="{505E5D19-61D5-0747-8ACC-32757FE9FF0D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2_state_default" connectionId="2" xr16:uid="{3B0638CF-0583-F944-8912-A0F95C798726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7_yearly_trend" connectionId="7" xr16:uid="{1D8A912D-ADC7-964A-BB54-3DBA09EAD4D9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6_lowdoc_default" connectionId="6" xr16:uid="{70D6E3D4-019A-1844-A450-0BCE701DA86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34B2-F4B1-4345-A7B2-75B66714535A}">
  <dimension ref="B2:L28"/>
  <sheetViews>
    <sheetView tabSelected="1" workbookViewId="0">
      <selection activeCell="O15" sqref="O15"/>
    </sheetView>
  </sheetViews>
  <sheetFormatPr baseColWidth="10" defaultRowHeight="16" x14ac:dyDescent="0.2"/>
  <cols>
    <col min="1" max="5" width="10.83203125" style="3"/>
    <col min="6" max="6" width="15.5" style="3" bestFit="1" customWidth="1"/>
    <col min="7" max="7" width="10.83203125" style="3"/>
    <col min="8" max="8" width="17.83203125" style="3" bestFit="1" customWidth="1"/>
    <col min="9" max="11" width="10.83203125" style="3"/>
    <col min="12" max="12" width="10.83203125" style="3" customWidth="1"/>
    <col min="13" max="16384" width="10.83203125" style="3"/>
  </cols>
  <sheetData>
    <row r="2" spans="2:12" ht="40" customHeight="1" x14ac:dyDescent="0.2">
      <c r="B2" s="1" t="s">
        <v>37</v>
      </c>
      <c r="C2" s="1"/>
      <c r="D2" s="1"/>
      <c r="E2" s="1"/>
      <c r="F2" s="1"/>
      <c r="G2" s="1"/>
      <c r="H2" s="1"/>
      <c r="I2" s="1"/>
      <c r="J2" s="1"/>
      <c r="K2" s="1"/>
      <c r="L2" s="2"/>
    </row>
    <row r="3" spans="2:12" ht="19" thickBot="1" x14ac:dyDescent="0.25">
      <c r="B3" s="4" t="s">
        <v>66</v>
      </c>
      <c r="C3" s="4"/>
      <c r="D3" s="4"/>
      <c r="E3" s="4"/>
      <c r="F3" s="4"/>
      <c r="G3" s="4"/>
      <c r="H3" s="4"/>
      <c r="I3" s="4"/>
      <c r="J3" s="4"/>
      <c r="K3" s="4"/>
      <c r="L3" s="5"/>
    </row>
    <row r="4" spans="2:12" x14ac:dyDescent="0.2">
      <c r="B4" s="6" t="s">
        <v>67</v>
      </c>
      <c r="C4" s="7"/>
      <c r="D4" s="8"/>
      <c r="E4" s="9" t="s">
        <v>69</v>
      </c>
      <c r="F4" s="10"/>
      <c r="G4" s="8"/>
      <c r="H4" s="34" t="s">
        <v>40</v>
      </c>
      <c r="J4" s="9" t="s">
        <v>38</v>
      </c>
      <c r="K4" s="10"/>
    </row>
    <row r="5" spans="2:12" ht="32" x14ac:dyDescent="0.3">
      <c r="B5" s="11">
        <v>896139</v>
      </c>
      <c r="C5" s="12"/>
      <c r="D5" s="13"/>
      <c r="E5" s="14">
        <v>0.19409999999999999</v>
      </c>
      <c r="F5" s="15"/>
      <c r="G5" s="13"/>
      <c r="H5" s="36">
        <v>2007</v>
      </c>
      <c r="J5" s="16" t="s">
        <v>39</v>
      </c>
      <c r="K5" s="17"/>
    </row>
    <row r="6" spans="2:12" ht="17" thickBot="1" x14ac:dyDescent="0.25">
      <c r="B6" s="18" t="s">
        <v>68</v>
      </c>
      <c r="C6" s="19"/>
      <c r="D6" s="8"/>
      <c r="E6" s="20" t="s">
        <v>70</v>
      </c>
      <c r="F6" s="21"/>
      <c r="G6" s="8"/>
      <c r="H6" s="35" t="s">
        <v>79</v>
      </c>
      <c r="J6" s="46" t="s">
        <v>71</v>
      </c>
      <c r="K6" s="47"/>
    </row>
    <row r="7" spans="2:12" ht="3" customHeight="1" x14ac:dyDescent="0.2">
      <c r="B7" s="22"/>
      <c r="C7" s="22"/>
      <c r="D7" s="22"/>
      <c r="E7" s="22"/>
      <c r="F7" s="22"/>
      <c r="G7" s="22"/>
      <c r="H7" s="22"/>
      <c r="I7" s="22"/>
      <c r="J7" s="22"/>
      <c r="K7" s="22"/>
      <c r="L7" s="23"/>
    </row>
    <row r="22" spans="2:11" ht="17" thickBot="1" x14ac:dyDescent="0.25">
      <c r="B22" s="24" t="s">
        <v>72</v>
      </c>
      <c r="C22" s="24"/>
      <c r="D22" s="24"/>
      <c r="E22" s="24"/>
      <c r="F22" s="24"/>
      <c r="G22" s="24"/>
      <c r="H22" s="24"/>
      <c r="I22" s="24"/>
      <c r="J22" s="24"/>
      <c r="K22" s="24"/>
    </row>
    <row r="23" spans="2:11" x14ac:dyDescent="0.2">
      <c r="B23" s="37" t="s">
        <v>73</v>
      </c>
      <c r="C23" s="38"/>
      <c r="D23" s="38"/>
      <c r="E23" s="38"/>
      <c r="F23" s="38"/>
      <c r="G23" s="38"/>
      <c r="H23" s="38"/>
      <c r="I23" s="38"/>
      <c r="J23" s="38"/>
      <c r="K23" s="39"/>
    </row>
    <row r="24" spans="2:11" ht="16" customHeight="1" x14ac:dyDescent="0.2">
      <c r="B24" s="40" t="s">
        <v>74</v>
      </c>
      <c r="C24" s="41"/>
      <c r="D24" s="41"/>
      <c r="E24" s="41"/>
      <c r="F24" s="41"/>
      <c r="G24" s="41"/>
      <c r="H24" s="41"/>
      <c r="I24" s="41"/>
      <c r="J24" s="41"/>
      <c r="K24" s="42"/>
    </row>
    <row r="25" spans="2:11" x14ac:dyDescent="0.2">
      <c r="B25" s="40" t="s">
        <v>75</v>
      </c>
      <c r="C25" s="41"/>
      <c r="D25" s="41"/>
      <c r="E25" s="41"/>
      <c r="F25" s="41"/>
      <c r="G25" s="41"/>
      <c r="H25" s="41"/>
      <c r="I25" s="41"/>
      <c r="J25" s="41"/>
      <c r="K25" s="42"/>
    </row>
    <row r="26" spans="2:11" x14ac:dyDescent="0.2">
      <c r="B26" s="40" t="s">
        <v>76</v>
      </c>
      <c r="C26" s="41"/>
      <c r="D26" s="41"/>
      <c r="E26" s="41"/>
      <c r="F26" s="41"/>
      <c r="G26" s="41"/>
      <c r="H26" s="41"/>
      <c r="I26" s="41"/>
      <c r="J26" s="41"/>
      <c r="K26" s="42"/>
    </row>
    <row r="27" spans="2:11" ht="17" thickBot="1" x14ac:dyDescent="0.25">
      <c r="B27" s="43" t="s">
        <v>77</v>
      </c>
      <c r="C27" s="44"/>
      <c r="D27" s="44"/>
      <c r="E27" s="44"/>
      <c r="F27" s="44"/>
      <c r="G27" s="44"/>
      <c r="H27" s="44"/>
      <c r="I27" s="44"/>
      <c r="J27" s="44"/>
      <c r="K27" s="45"/>
    </row>
    <row r="28" spans="2:11" x14ac:dyDescent="0.2">
      <c r="B28" s="25" t="s">
        <v>78</v>
      </c>
      <c r="C28" s="25"/>
      <c r="D28" s="25"/>
      <c r="E28" s="25"/>
      <c r="F28" s="25"/>
      <c r="G28" s="25"/>
      <c r="H28" s="25"/>
      <c r="I28" s="25"/>
      <c r="J28" s="25"/>
      <c r="K28" s="25"/>
    </row>
  </sheetData>
  <mergeCells count="18">
    <mergeCell ref="B28:K28"/>
    <mergeCell ref="E5:F5"/>
    <mergeCell ref="E6:F6"/>
    <mergeCell ref="E4:F4"/>
    <mergeCell ref="B22:K22"/>
    <mergeCell ref="B23:K23"/>
    <mergeCell ref="B24:K24"/>
    <mergeCell ref="B25:K25"/>
    <mergeCell ref="B26:K26"/>
    <mergeCell ref="B27:K27"/>
    <mergeCell ref="J4:K4"/>
    <mergeCell ref="J5:K5"/>
    <mergeCell ref="J6:K6"/>
    <mergeCell ref="B2:K2"/>
    <mergeCell ref="B3:K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8CB9-9722-7741-9B7C-091CAC0E9D06}">
  <dimension ref="A1"/>
  <sheetViews>
    <sheetView zoomScale="60" zoomScaleNormal="60" workbookViewId="0">
      <selection activeCell="AA36" sqref="AA3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4A83-1C73-4C42-A5F2-66E3E75A2148}">
  <dimension ref="B2:G26"/>
  <sheetViews>
    <sheetView zoomScale="120" workbookViewId="0">
      <selection activeCell="H20" sqref="H20"/>
    </sheetView>
  </sheetViews>
  <sheetFormatPr baseColWidth="10" defaultRowHeight="16" x14ac:dyDescent="0.2"/>
  <cols>
    <col min="1" max="1" width="10.83203125" style="3"/>
    <col min="2" max="2" width="19.5" style="3" bestFit="1" customWidth="1"/>
    <col min="3" max="3" width="16" style="3" bestFit="1" customWidth="1"/>
    <col min="4" max="4" width="10.83203125" style="3"/>
    <col min="5" max="5" width="22" style="3" bestFit="1" customWidth="1"/>
    <col min="6" max="16384" width="10.83203125" style="3"/>
  </cols>
  <sheetData>
    <row r="2" spans="2:7" ht="20" x14ac:dyDescent="0.2">
      <c r="B2" s="26" t="s">
        <v>41</v>
      </c>
      <c r="C2" s="26"/>
      <c r="D2" s="26"/>
      <c r="E2" s="26"/>
      <c r="F2" s="26"/>
      <c r="G2" s="26"/>
    </row>
    <row r="4" spans="2:7" ht="20" x14ac:dyDescent="0.2">
      <c r="B4" s="27" t="s">
        <v>42</v>
      </c>
      <c r="C4" s="27"/>
      <c r="D4" s="27"/>
      <c r="E4" s="27"/>
      <c r="F4" s="27"/>
      <c r="G4" s="27"/>
    </row>
    <row r="6" spans="2:7" x14ac:dyDescent="0.2">
      <c r="B6" s="3" t="s">
        <v>43</v>
      </c>
      <c r="C6" s="28" t="s">
        <v>8</v>
      </c>
      <c r="E6" s="29" t="s">
        <v>60</v>
      </c>
    </row>
    <row r="7" spans="2:7" x14ac:dyDescent="0.2">
      <c r="B7" s="3" t="s">
        <v>44</v>
      </c>
      <c r="C7" s="28">
        <v>400000</v>
      </c>
      <c r="E7" s="28" t="s">
        <v>61</v>
      </c>
    </row>
    <row r="8" spans="2:7" x14ac:dyDescent="0.2">
      <c r="B8" s="3" t="s">
        <v>45</v>
      </c>
      <c r="C8" s="28" t="s">
        <v>47</v>
      </c>
      <c r="E8" s="28" t="s">
        <v>62</v>
      </c>
    </row>
    <row r="9" spans="2:7" x14ac:dyDescent="0.2">
      <c r="B9" s="3" t="s">
        <v>46</v>
      </c>
      <c r="C9" s="28" t="s">
        <v>48</v>
      </c>
      <c r="E9" s="28" t="s">
        <v>63</v>
      </c>
    </row>
    <row r="10" spans="2:7" x14ac:dyDescent="0.2">
      <c r="B10" s="3" t="s">
        <v>49</v>
      </c>
      <c r="C10" s="28" t="s">
        <v>50</v>
      </c>
      <c r="E10" s="28" t="s">
        <v>64</v>
      </c>
    </row>
    <row r="11" spans="2:7" x14ac:dyDescent="0.2">
      <c r="E11" s="28" t="s">
        <v>65</v>
      </c>
    </row>
    <row r="13" spans="2:7" ht="18" x14ac:dyDescent="0.2">
      <c r="B13" s="30" t="s">
        <v>51</v>
      </c>
      <c r="C13" s="30"/>
      <c r="D13" s="30"/>
      <c r="E13" s="30"/>
      <c r="F13" s="30"/>
      <c r="G13" s="30"/>
    </row>
    <row r="15" spans="2:7" x14ac:dyDescent="0.2">
      <c r="B15" s="3" t="s">
        <v>52</v>
      </c>
      <c r="C15" s="3">
        <f>IF(C6="FL",3,IF(C6="GA",3,IF(C6="NV",2,IF(C6="IL",2,1))))</f>
        <v>3</v>
      </c>
    </row>
    <row r="16" spans="2:7" x14ac:dyDescent="0.2">
      <c r="B16" s="3" t="s">
        <v>53</v>
      </c>
      <c r="C16" s="3">
        <f>IF(C7&lt;50000,3,IF(C7&lt;150000,2,IF(C7&lt;500000,1,0)))</f>
        <v>1</v>
      </c>
    </row>
    <row r="17" spans="2:7" x14ac:dyDescent="0.2">
      <c r="B17" s="3" t="s">
        <v>54</v>
      </c>
      <c r="C17" s="3">
        <f>IF(C8="New",2,1)</f>
        <v>2</v>
      </c>
    </row>
    <row r="18" spans="2:7" x14ac:dyDescent="0.2">
      <c r="B18" s="3" t="s">
        <v>55</v>
      </c>
      <c r="C18" s="3">
        <f>IF(C9="Full",2,1)</f>
        <v>2</v>
      </c>
    </row>
    <row r="19" spans="2:7" x14ac:dyDescent="0.2">
      <c r="B19" s="3" t="s">
        <v>56</v>
      </c>
      <c r="C19" s="3">
        <f>IF(C10="High",3,IF(C10="Medium",2,1))</f>
        <v>3</v>
      </c>
    </row>
    <row r="21" spans="2:7" ht="18" x14ac:dyDescent="0.2">
      <c r="B21" s="31" t="s">
        <v>57</v>
      </c>
      <c r="C21" s="31">
        <f>SUM(C15:C19)</f>
        <v>11</v>
      </c>
    </row>
    <row r="24" spans="2:7" ht="18" x14ac:dyDescent="0.2">
      <c r="B24" s="30" t="s">
        <v>58</v>
      </c>
      <c r="C24" s="30"/>
      <c r="D24" s="30"/>
      <c r="E24" s="30"/>
      <c r="F24" s="30"/>
      <c r="G24" s="30"/>
    </row>
    <row r="26" spans="2:7" ht="20" x14ac:dyDescent="0.2">
      <c r="B26" s="32" t="s">
        <v>59</v>
      </c>
      <c r="C26" s="33" t="str">
        <f>IF(C21&gt;=11," HIGH RISK",IF(C21&gt;=7," MEDIUM RISK","LOW RISK"))</f>
        <v xml:space="preserve"> HIGH RISK</v>
      </c>
    </row>
  </sheetData>
  <mergeCells count="4">
    <mergeCell ref="B2:G2"/>
    <mergeCell ref="B4:G4"/>
    <mergeCell ref="B13:G13"/>
    <mergeCell ref="B24:G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F442-1F08-F341-9AB1-F6B0A22D025C}">
  <dimension ref="A1:D132"/>
  <sheetViews>
    <sheetView workbookViewId="0">
      <selection activeCell="I27" sqref="I27"/>
    </sheetView>
  </sheetViews>
  <sheetFormatPr baseColWidth="10" defaultRowHeight="16" x14ac:dyDescent="0.2"/>
  <cols>
    <col min="1" max="1" width="22" style="3" bestFit="1" customWidth="1"/>
    <col min="2" max="2" width="11.1640625" style="3" bestFit="1" customWidth="1"/>
    <col min="3" max="3" width="13.33203125" style="3" bestFit="1" customWidth="1"/>
    <col min="4" max="4" width="15.83203125" style="3" bestFit="1" customWidth="1"/>
    <col min="5" max="16384" width="10.83203125" style="3"/>
  </cols>
  <sheetData>
    <row r="1" spans="1:4" x14ac:dyDescent="0.2">
      <c r="A1" s="3" t="s">
        <v>0</v>
      </c>
      <c r="B1" s="3" t="s">
        <v>1</v>
      </c>
      <c r="C1" s="3" t="s">
        <v>2</v>
      </c>
    </row>
    <row r="2" spans="1:4" x14ac:dyDescent="0.2">
      <c r="A2" s="3" t="s">
        <v>3</v>
      </c>
      <c r="B2" s="3">
        <v>1128026</v>
      </c>
      <c r="C2" s="3">
        <v>80.489999999999995</v>
      </c>
    </row>
    <row r="3" spans="1:4" x14ac:dyDescent="0.2">
      <c r="A3" s="3" t="s">
        <v>4</v>
      </c>
      <c r="B3" s="3">
        <v>272074</v>
      </c>
      <c r="C3" s="3">
        <v>19.41</v>
      </c>
    </row>
    <row r="4" spans="1:4" x14ac:dyDescent="0.2">
      <c r="B4" s="3">
        <v>1336</v>
      </c>
      <c r="C4" s="3">
        <v>0.1</v>
      </c>
    </row>
    <row r="10" spans="1:4" x14ac:dyDescent="0.2">
      <c r="A10" s="3" t="s">
        <v>5</v>
      </c>
      <c r="B10" s="3" t="s">
        <v>1</v>
      </c>
      <c r="C10" s="3" t="s">
        <v>6</v>
      </c>
      <c r="D10" s="3" t="s">
        <v>7</v>
      </c>
    </row>
    <row r="11" spans="1:4" x14ac:dyDescent="0.2">
      <c r="A11" s="3" t="s">
        <v>8</v>
      </c>
      <c r="B11" s="3">
        <v>65453</v>
      </c>
      <c r="C11" s="3">
        <v>20103</v>
      </c>
      <c r="D11" s="3">
        <v>30.71</v>
      </c>
    </row>
    <row r="12" spans="1:4" x14ac:dyDescent="0.2">
      <c r="A12" s="3" t="s">
        <v>9</v>
      </c>
      <c r="B12" s="3">
        <v>35593</v>
      </c>
      <c r="C12" s="3">
        <v>9517</v>
      </c>
      <c r="D12" s="3">
        <v>26.74</v>
      </c>
    </row>
    <row r="13" spans="1:4" x14ac:dyDescent="0.2">
      <c r="A13" s="3" t="s">
        <v>10</v>
      </c>
      <c r="B13" s="3">
        <v>12616</v>
      </c>
      <c r="C13" s="3">
        <v>3214</v>
      </c>
      <c r="D13" s="3">
        <v>25.48</v>
      </c>
    </row>
    <row r="14" spans="1:4" x14ac:dyDescent="0.2">
      <c r="A14" s="3" t="s">
        <v>11</v>
      </c>
      <c r="B14" s="3">
        <v>47746</v>
      </c>
      <c r="C14" s="3">
        <v>11984</v>
      </c>
      <c r="D14" s="3">
        <v>25.1</v>
      </c>
    </row>
    <row r="15" spans="1:4" x14ac:dyDescent="0.2">
      <c r="A15" s="3" t="s">
        <v>12</v>
      </c>
      <c r="B15" s="3">
        <v>2398</v>
      </c>
      <c r="C15" s="3">
        <v>594</v>
      </c>
      <c r="D15" s="3">
        <v>24.77</v>
      </c>
    </row>
    <row r="16" spans="1:4" x14ac:dyDescent="0.2">
      <c r="A16" s="3" t="s">
        <v>13</v>
      </c>
      <c r="B16" s="3">
        <v>33385</v>
      </c>
      <c r="C16" s="3">
        <v>8199</v>
      </c>
      <c r="D16" s="3">
        <v>24.56</v>
      </c>
    </row>
    <row r="17" spans="1:4" x14ac:dyDescent="0.2">
      <c r="A17" s="3" t="s">
        <v>14</v>
      </c>
      <c r="B17" s="3">
        <v>14745</v>
      </c>
      <c r="C17" s="3">
        <v>3513</v>
      </c>
      <c r="D17" s="3">
        <v>23.83</v>
      </c>
    </row>
    <row r="18" spans="1:4" x14ac:dyDescent="0.2">
      <c r="A18" s="3" t="s">
        <v>15</v>
      </c>
      <c r="B18" s="3">
        <v>27903</v>
      </c>
      <c r="C18" s="3">
        <v>6584</v>
      </c>
      <c r="D18" s="3">
        <v>23.6</v>
      </c>
    </row>
    <row r="19" spans="1:4" x14ac:dyDescent="0.2">
      <c r="A19" s="3" t="s">
        <v>16</v>
      </c>
      <c r="B19" s="3">
        <v>8741</v>
      </c>
      <c r="C19" s="3">
        <v>2013</v>
      </c>
      <c r="D19" s="3">
        <v>23.03</v>
      </c>
    </row>
    <row r="20" spans="1:4" x14ac:dyDescent="0.2">
      <c r="A20" s="3" t="s">
        <v>17</v>
      </c>
      <c r="B20" s="3">
        <v>37405</v>
      </c>
      <c r="C20" s="3">
        <v>8371</v>
      </c>
      <c r="D20" s="3">
        <v>22.38</v>
      </c>
    </row>
    <row r="21" spans="1:4" x14ac:dyDescent="0.2">
      <c r="A21" s="3" t="s">
        <v>18</v>
      </c>
      <c r="B21" s="3">
        <v>92457</v>
      </c>
      <c r="C21" s="3">
        <v>20125</v>
      </c>
      <c r="D21" s="3">
        <v>21.77</v>
      </c>
    </row>
    <row r="22" spans="1:4" x14ac:dyDescent="0.2">
      <c r="A22" s="3" t="s">
        <v>19</v>
      </c>
      <c r="B22" s="3">
        <v>20634</v>
      </c>
      <c r="C22" s="3">
        <v>4457</v>
      </c>
      <c r="D22" s="3">
        <v>21.6</v>
      </c>
    </row>
    <row r="23" spans="1:4" x14ac:dyDescent="0.2">
      <c r="A23" s="3" t="s">
        <v>20</v>
      </c>
      <c r="B23" s="3">
        <v>22745</v>
      </c>
      <c r="C23" s="3">
        <v>4779</v>
      </c>
      <c r="D23" s="3">
        <v>21.01</v>
      </c>
    </row>
    <row r="24" spans="1:4" x14ac:dyDescent="0.2">
      <c r="A24" s="3" t="s">
        <v>21</v>
      </c>
      <c r="B24" s="3">
        <v>20896</v>
      </c>
      <c r="C24" s="3">
        <v>4344</v>
      </c>
      <c r="D24" s="3">
        <v>20.79</v>
      </c>
    </row>
    <row r="25" spans="1:4" x14ac:dyDescent="0.2">
      <c r="A25" s="3" t="s">
        <v>22</v>
      </c>
      <c r="B25" s="3">
        <v>203234</v>
      </c>
      <c r="C25" s="3">
        <v>42107</v>
      </c>
      <c r="D25" s="3">
        <v>20.72</v>
      </c>
    </row>
    <row r="30" spans="1:4" x14ac:dyDescent="0.2">
      <c r="A30" s="3" t="s">
        <v>23</v>
      </c>
      <c r="B30" s="3" t="s">
        <v>1</v>
      </c>
      <c r="C30" s="3" t="s">
        <v>6</v>
      </c>
      <c r="D30" s="3" t="s">
        <v>7</v>
      </c>
    </row>
    <row r="31" spans="1:4" x14ac:dyDescent="0.2">
      <c r="A31" s="3">
        <v>53</v>
      </c>
      <c r="B31" s="3">
        <v>22102</v>
      </c>
      <c r="C31" s="3">
        <v>7067</v>
      </c>
      <c r="D31" s="3">
        <v>31.97</v>
      </c>
    </row>
    <row r="32" spans="1:4" x14ac:dyDescent="0.2">
      <c r="A32" s="3">
        <v>52</v>
      </c>
      <c r="B32" s="3">
        <v>15374</v>
      </c>
      <c r="C32" s="3">
        <v>4796</v>
      </c>
      <c r="D32" s="3">
        <v>31.2</v>
      </c>
    </row>
    <row r="33" spans="1:4" x14ac:dyDescent="0.2">
      <c r="A33" s="3">
        <v>48</v>
      </c>
      <c r="B33" s="3">
        <v>33279</v>
      </c>
      <c r="C33" s="3">
        <v>9745</v>
      </c>
      <c r="D33" s="3">
        <v>29.28</v>
      </c>
    </row>
    <row r="34" spans="1:4" x14ac:dyDescent="0.2">
      <c r="A34" s="3">
        <v>51</v>
      </c>
      <c r="B34" s="3">
        <v>17708</v>
      </c>
      <c r="C34" s="3">
        <v>4760</v>
      </c>
      <c r="D34" s="3">
        <v>26.88</v>
      </c>
    </row>
    <row r="35" spans="1:4" x14ac:dyDescent="0.2">
      <c r="A35" s="3">
        <v>61</v>
      </c>
      <c r="B35" s="3">
        <v>10221</v>
      </c>
      <c r="C35" s="3">
        <v>2701</v>
      </c>
      <c r="D35" s="3">
        <v>26.43</v>
      </c>
    </row>
    <row r="36" spans="1:4" x14ac:dyDescent="0.2">
      <c r="A36" s="3">
        <v>56</v>
      </c>
      <c r="B36" s="3">
        <v>51559</v>
      </c>
      <c r="C36" s="3">
        <v>13375</v>
      </c>
      <c r="D36" s="3">
        <v>25.94</v>
      </c>
    </row>
    <row r="37" spans="1:4" x14ac:dyDescent="0.2">
      <c r="A37" s="3">
        <v>23</v>
      </c>
      <c r="B37" s="3">
        <v>107693</v>
      </c>
      <c r="C37" s="3">
        <v>27457</v>
      </c>
      <c r="D37" s="3">
        <v>25.5</v>
      </c>
    </row>
    <row r="38" spans="1:4" x14ac:dyDescent="0.2">
      <c r="A38" s="3">
        <v>49</v>
      </c>
      <c r="B38" s="3">
        <v>3444</v>
      </c>
      <c r="C38" s="3">
        <v>878</v>
      </c>
      <c r="D38" s="3">
        <v>25.49</v>
      </c>
    </row>
    <row r="39" spans="1:4" x14ac:dyDescent="0.2">
      <c r="A39" s="3">
        <v>45</v>
      </c>
      <c r="B39" s="3">
        <v>65818</v>
      </c>
      <c r="C39" s="3">
        <v>16736</v>
      </c>
      <c r="D39" s="3">
        <v>25.43</v>
      </c>
    </row>
    <row r="40" spans="1:4" x14ac:dyDescent="0.2">
      <c r="A40" s="3">
        <v>44</v>
      </c>
      <c r="B40" s="3">
        <v>130970</v>
      </c>
      <c r="C40" s="3">
        <v>32030</v>
      </c>
      <c r="D40" s="3">
        <v>24.46</v>
      </c>
    </row>
    <row r="41" spans="1:4" x14ac:dyDescent="0.2">
      <c r="A41" s="3">
        <v>72</v>
      </c>
      <c r="B41" s="3">
        <v>103664</v>
      </c>
      <c r="C41" s="3">
        <v>24686</v>
      </c>
      <c r="D41" s="3">
        <v>23.81</v>
      </c>
    </row>
    <row r="42" spans="1:4" x14ac:dyDescent="0.2">
      <c r="A42" s="3">
        <v>71</v>
      </c>
      <c r="B42" s="3">
        <v>22513</v>
      </c>
      <c r="C42" s="3">
        <v>5060</v>
      </c>
      <c r="D42" s="3">
        <v>22.48</v>
      </c>
    </row>
    <row r="43" spans="1:4" x14ac:dyDescent="0.2">
      <c r="A43" s="3">
        <v>81</v>
      </c>
      <c r="B43" s="3">
        <v>112401</v>
      </c>
      <c r="C43" s="3">
        <v>24228</v>
      </c>
      <c r="D43" s="3">
        <v>21.55</v>
      </c>
    </row>
    <row r="44" spans="1:4" x14ac:dyDescent="0.2">
      <c r="A44" s="3">
        <v>42</v>
      </c>
      <c r="B44" s="3">
        <v>76173</v>
      </c>
      <c r="C44" s="3">
        <v>16376</v>
      </c>
      <c r="D44" s="3">
        <v>21.5</v>
      </c>
    </row>
    <row r="45" spans="1:4" x14ac:dyDescent="0.2">
      <c r="A45" s="3">
        <v>54</v>
      </c>
      <c r="B45" s="3">
        <v>108040</v>
      </c>
      <c r="C45" s="3">
        <v>23006</v>
      </c>
      <c r="D45" s="3">
        <v>21.29</v>
      </c>
    </row>
    <row r="50" spans="1:4" x14ac:dyDescent="0.2">
      <c r="A50" s="3" t="s">
        <v>24</v>
      </c>
      <c r="B50" s="3" t="s">
        <v>1</v>
      </c>
      <c r="C50" s="3" t="s">
        <v>6</v>
      </c>
      <c r="D50" s="3" t="s">
        <v>7</v>
      </c>
    </row>
    <row r="51" spans="1:4" x14ac:dyDescent="0.2">
      <c r="A51" s="3" t="s">
        <v>25</v>
      </c>
      <c r="B51" s="3">
        <v>782180</v>
      </c>
      <c r="C51" s="3">
        <v>187568</v>
      </c>
      <c r="D51" s="3">
        <v>23.98</v>
      </c>
    </row>
    <row r="52" spans="1:4" x14ac:dyDescent="0.2">
      <c r="A52" s="3" t="s">
        <v>26</v>
      </c>
      <c r="B52" s="3">
        <v>323434</v>
      </c>
      <c r="C52" s="3">
        <v>56262</v>
      </c>
      <c r="D52" s="3">
        <v>17.399999999999999</v>
      </c>
    </row>
    <row r="53" spans="1:4" x14ac:dyDescent="0.2">
      <c r="A53" s="3" t="s">
        <v>27</v>
      </c>
      <c r="B53" s="3">
        <v>207659</v>
      </c>
      <c r="C53" s="3">
        <v>20799</v>
      </c>
      <c r="D53" s="3">
        <v>10.02</v>
      </c>
    </row>
    <row r="54" spans="1:4" x14ac:dyDescent="0.2">
      <c r="A54" s="3" t="s">
        <v>28</v>
      </c>
      <c r="B54" s="3">
        <v>86827</v>
      </c>
      <c r="C54" s="3">
        <v>7445</v>
      </c>
      <c r="D54" s="3">
        <v>8.57</v>
      </c>
    </row>
    <row r="60" spans="1:4" x14ac:dyDescent="0.2">
      <c r="A60" s="3" t="s">
        <v>29</v>
      </c>
      <c r="B60" s="3" t="s">
        <v>1</v>
      </c>
      <c r="C60" s="3" t="s">
        <v>6</v>
      </c>
      <c r="D60" s="3" t="s">
        <v>7</v>
      </c>
    </row>
    <row r="61" spans="1:4" x14ac:dyDescent="0.2">
      <c r="A61" s="3" t="s">
        <v>30</v>
      </c>
      <c r="B61" s="3">
        <v>404948</v>
      </c>
      <c r="C61" s="3">
        <v>82721</v>
      </c>
      <c r="D61" s="3">
        <v>20.43</v>
      </c>
    </row>
    <row r="62" spans="1:4" x14ac:dyDescent="0.2">
      <c r="A62" s="3" t="s">
        <v>31</v>
      </c>
      <c r="B62" s="3">
        <v>994759</v>
      </c>
      <c r="C62" s="3">
        <v>189330</v>
      </c>
      <c r="D62" s="3">
        <v>19.03</v>
      </c>
    </row>
    <row r="70" spans="1:4" x14ac:dyDescent="0.2">
      <c r="A70" s="3" t="s">
        <v>32</v>
      </c>
      <c r="B70" s="3" t="s">
        <v>1</v>
      </c>
      <c r="C70" s="3" t="s">
        <v>6</v>
      </c>
      <c r="D70" s="3" t="s">
        <v>7</v>
      </c>
    </row>
    <row r="71" spans="1:4" x14ac:dyDescent="0.2">
      <c r="A71" s="3" t="s">
        <v>33</v>
      </c>
      <c r="B71" s="3">
        <v>567</v>
      </c>
      <c r="C71" s="3">
        <v>263</v>
      </c>
      <c r="D71" s="3">
        <v>46.38</v>
      </c>
    </row>
    <row r="72" spans="1:4" x14ac:dyDescent="0.2">
      <c r="A72" s="3" t="s">
        <v>33</v>
      </c>
      <c r="B72" s="3">
        <v>2345</v>
      </c>
      <c r="C72" s="3">
        <v>962</v>
      </c>
      <c r="D72" s="3">
        <v>41.02</v>
      </c>
    </row>
    <row r="73" spans="1:4" x14ac:dyDescent="0.2">
      <c r="A73" s="3" t="s">
        <v>33</v>
      </c>
      <c r="B73" s="3">
        <v>71</v>
      </c>
      <c r="C73" s="3">
        <v>25</v>
      </c>
      <c r="D73" s="3">
        <v>35.21</v>
      </c>
    </row>
    <row r="74" spans="1:4" x14ac:dyDescent="0.2">
      <c r="A74" s="3" t="s">
        <v>33</v>
      </c>
      <c r="B74" s="3">
        <v>487</v>
      </c>
      <c r="C74" s="3">
        <v>158</v>
      </c>
      <c r="D74" s="3">
        <v>32.44</v>
      </c>
    </row>
    <row r="75" spans="1:4" x14ac:dyDescent="0.2">
      <c r="A75" s="3" t="s">
        <v>33</v>
      </c>
      <c r="B75" s="3">
        <v>5990</v>
      </c>
      <c r="C75" s="3">
        <v>1575</v>
      </c>
      <c r="D75" s="3">
        <v>26.29</v>
      </c>
    </row>
    <row r="76" spans="1:4" x14ac:dyDescent="0.2">
      <c r="A76" s="3" t="s">
        <v>34</v>
      </c>
      <c r="B76" s="3">
        <v>1242662</v>
      </c>
      <c r="C76" s="3">
        <v>254866</v>
      </c>
      <c r="D76" s="3">
        <v>20.51</v>
      </c>
    </row>
    <row r="77" spans="1:4" x14ac:dyDescent="0.2">
      <c r="A77" s="3" t="s">
        <v>35</v>
      </c>
      <c r="B77" s="3">
        <v>147549</v>
      </c>
      <c r="C77" s="3">
        <v>14185</v>
      </c>
      <c r="D77" s="3">
        <v>9.61</v>
      </c>
    </row>
    <row r="78" spans="1:4" x14ac:dyDescent="0.2">
      <c r="A78" s="3" t="s">
        <v>33</v>
      </c>
      <c r="B78" s="3">
        <v>428</v>
      </c>
      <c r="C78" s="3">
        <v>40</v>
      </c>
      <c r="D78" s="3">
        <v>9.35</v>
      </c>
    </row>
    <row r="79" spans="1:4" x14ac:dyDescent="0.2">
      <c r="A79" s="3" t="s">
        <v>33</v>
      </c>
      <c r="B79" s="3">
        <v>1</v>
      </c>
      <c r="C79" s="3">
        <v>0</v>
      </c>
      <c r="D79" s="3">
        <v>0</v>
      </c>
    </row>
    <row r="85" spans="1:4" x14ac:dyDescent="0.2">
      <c r="A85" s="3" t="s">
        <v>36</v>
      </c>
      <c r="B85" s="3" t="s">
        <v>1</v>
      </c>
      <c r="C85" s="3" t="s">
        <v>6</v>
      </c>
      <c r="D85" s="3" t="s">
        <v>7</v>
      </c>
    </row>
    <row r="86" spans="1:4" x14ac:dyDescent="0.2">
      <c r="A86" s="3">
        <v>1966</v>
      </c>
      <c r="B86" s="3">
        <v>1</v>
      </c>
      <c r="C86" s="3">
        <v>1</v>
      </c>
      <c r="D86" s="3">
        <v>100</v>
      </c>
    </row>
    <row r="87" spans="1:4" x14ac:dyDescent="0.2">
      <c r="A87" s="3">
        <v>1969</v>
      </c>
      <c r="B87" s="3">
        <v>1</v>
      </c>
      <c r="C87" s="3">
        <v>0</v>
      </c>
      <c r="D87" s="3">
        <v>0</v>
      </c>
    </row>
    <row r="88" spans="1:4" x14ac:dyDescent="0.2">
      <c r="A88" s="3">
        <v>1970</v>
      </c>
      <c r="B88" s="3">
        <v>8</v>
      </c>
      <c r="C88" s="3">
        <v>7</v>
      </c>
      <c r="D88" s="3">
        <v>87.5</v>
      </c>
    </row>
    <row r="89" spans="1:4" x14ac:dyDescent="0.2">
      <c r="A89" s="3">
        <v>1971</v>
      </c>
      <c r="B89" s="3">
        <v>18</v>
      </c>
      <c r="C89" s="3">
        <v>18</v>
      </c>
      <c r="D89" s="3">
        <v>100</v>
      </c>
    </row>
    <row r="90" spans="1:4" x14ac:dyDescent="0.2">
      <c r="A90" s="3">
        <v>1972</v>
      </c>
      <c r="B90" s="3">
        <v>50</v>
      </c>
      <c r="C90" s="3">
        <v>42</v>
      </c>
      <c r="D90" s="3">
        <v>84</v>
      </c>
    </row>
    <row r="91" spans="1:4" x14ac:dyDescent="0.2">
      <c r="A91" s="3">
        <v>1973</v>
      </c>
      <c r="B91" s="3">
        <v>91</v>
      </c>
      <c r="C91" s="3">
        <v>83</v>
      </c>
      <c r="D91" s="3">
        <v>91.21</v>
      </c>
    </row>
    <row r="92" spans="1:4" x14ac:dyDescent="0.2">
      <c r="A92" s="3">
        <v>1974</v>
      </c>
      <c r="B92" s="3">
        <v>44</v>
      </c>
      <c r="C92" s="3">
        <v>42</v>
      </c>
      <c r="D92" s="3">
        <v>95.45</v>
      </c>
    </row>
    <row r="93" spans="1:4" x14ac:dyDescent="0.2">
      <c r="A93" s="3">
        <v>1975</v>
      </c>
      <c r="B93" s="3">
        <v>29</v>
      </c>
      <c r="C93" s="3">
        <v>26</v>
      </c>
      <c r="D93" s="3">
        <v>89.66</v>
      </c>
    </row>
    <row r="94" spans="1:4" x14ac:dyDescent="0.2">
      <c r="A94" s="3">
        <v>1976</v>
      </c>
      <c r="B94" s="3">
        <v>65</v>
      </c>
      <c r="C94" s="3">
        <v>62</v>
      </c>
      <c r="D94" s="3">
        <v>95.38</v>
      </c>
    </row>
    <row r="95" spans="1:4" x14ac:dyDescent="0.2">
      <c r="A95" s="3">
        <v>1977</v>
      </c>
      <c r="B95" s="3">
        <v>137</v>
      </c>
      <c r="C95" s="3">
        <v>128</v>
      </c>
      <c r="D95" s="3">
        <v>93.43</v>
      </c>
    </row>
    <row r="96" spans="1:4" x14ac:dyDescent="0.2">
      <c r="A96" s="3">
        <v>1978</v>
      </c>
      <c r="B96" s="3">
        <v>276</v>
      </c>
      <c r="C96" s="3">
        <v>265</v>
      </c>
      <c r="D96" s="3">
        <v>96.01</v>
      </c>
    </row>
    <row r="97" spans="1:4" x14ac:dyDescent="0.2">
      <c r="A97" s="3">
        <v>1979</v>
      </c>
      <c r="B97" s="3">
        <v>560</v>
      </c>
      <c r="C97" s="3">
        <v>530</v>
      </c>
      <c r="D97" s="3">
        <v>94.64</v>
      </c>
    </row>
    <row r="98" spans="1:4" x14ac:dyDescent="0.2">
      <c r="A98" s="3">
        <v>1980</v>
      </c>
      <c r="B98" s="3">
        <v>854</v>
      </c>
      <c r="C98" s="3">
        <v>821</v>
      </c>
      <c r="D98" s="3">
        <v>96.14</v>
      </c>
    </row>
    <row r="99" spans="1:4" x14ac:dyDescent="0.2">
      <c r="A99" s="3">
        <v>1981</v>
      </c>
      <c r="B99" s="3">
        <v>1142</v>
      </c>
      <c r="C99" s="3">
        <v>837</v>
      </c>
      <c r="D99" s="3">
        <v>73.290000000000006</v>
      </c>
    </row>
    <row r="100" spans="1:4" x14ac:dyDescent="0.2">
      <c r="A100" s="3">
        <v>1982</v>
      </c>
      <c r="B100" s="3">
        <v>1364</v>
      </c>
      <c r="C100" s="3">
        <v>584</v>
      </c>
      <c r="D100" s="3">
        <v>42.82</v>
      </c>
    </row>
    <row r="101" spans="1:4" x14ac:dyDescent="0.2">
      <c r="A101" s="3">
        <v>1983</v>
      </c>
      <c r="B101" s="3">
        <v>3319</v>
      </c>
      <c r="C101" s="3">
        <v>1053</v>
      </c>
      <c r="D101" s="3">
        <v>31.73</v>
      </c>
    </row>
    <row r="102" spans="1:4" x14ac:dyDescent="0.2">
      <c r="A102" s="3">
        <v>1984</v>
      </c>
      <c r="B102" s="3">
        <v>4007</v>
      </c>
      <c r="C102" s="3">
        <v>1488</v>
      </c>
      <c r="D102" s="3">
        <v>37.14</v>
      </c>
    </row>
    <row r="103" spans="1:4" x14ac:dyDescent="0.2">
      <c r="A103" s="3">
        <v>1985</v>
      </c>
      <c r="B103" s="3">
        <v>3881</v>
      </c>
      <c r="C103" s="3">
        <v>1570</v>
      </c>
      <c r="D103" s="3">
        <v>40.450000000000003</v>
      </c>
    </row>
    <row r="104" spans="1:4" x14ac:dyDescent="0.2">
      <c r="A104" s="3">
        <v>1986</v>
      </c>
      <c r="B104" s="3">
        <v>4229</v>
      </c>
      <c r="C104" s="3">
        <v>1728</v>
      </c>
      <c r="D104" s="3">
        <v>40.86</v>
      </c>
    </row>
    <row r="105" spans="1:4" x14ac:dyDescent="0.2">
      <c r="A105" s="3">
        <v>1987</v>
      </c>
      <c r="B105" s="3">
        <v>4424</v>
      </c>
      <c r="C105" s="3">
        <v>1926</v>
      </c>
      <c r="D105" s="3">
        <v>43.54</v>
      </c>
    </row>
    <row r="106" spans="1:4" x14ac:dyDescent="0.2">
      <c r="A106" s="3">
        <v>1988</v>
      </c>
      <c r="B106" s="3">
        <v>3790</v>
      </c>
      <c r="C106" s="3">
        <v>1874</v>
      </c>
      <c r="D106" s="3">
        <v>49.45</v>
      </c>
    </row>
    <row r="107" spans="1:4" x14ac:dyDescent="0.2">
      <c r="A107" s="3">
        <v>1989</v>
      </c>
      <c r="B107" s="3">
        <v>26462</v>
      </c>
      <c r="C107" s="3">
        <v>1726</v>
      </c>
      <c r="D107" s="3">
        <v>6.52</v>
      </c>
    </row>
    <row r="108" spans="1:4" x14ac:dyDescent="0.2">
      <c r="A108" s="3">
        <v>1990</v>
      </c>
      <c r="B108" s="3">
        <v>29693</v>
      </c>
      <c r="C108" s="3">
        <v>1326</v>
      </c>
      <c r="D108" s="3">
        <v>4.47</v>
      </c>
    </row>
    <row r="109" spans="1:4" x14ac:dyDescent="0.2">
      <c r="A109" s="3">
        <v>1991</v>
      </c>
      <c r="B109" s="3">
        <v>31296</v>
      </c>
      <c r="C109" s="3">
        <v>885</v>
      </c>
      <c r="D109" s="3">
        <v>2.83</v>
      </c>
    </row>
    <row r="110" spans="1:4" x14ac:dyDescent="0.2">
      <c r="A110" s="3">
        <v>1992</v>
      </c>
      <c r="B110" s="3">
        <v>34911</v>
      </c>
      <c r="C110" s="3">
        <v>770</v>
      </c>
      <c r="D110" s="3">
        <v>2.21</v>
      </c>
    </row>
    <row r="111" spans="1:4" x14ac:dyDescent="0.2">
      <c r="A111" s="3">
        <v>1993</v>
      </c>
      <c r="B111" s="3">
        <v>23266</v>
      </c>
      <c r="C111" s="3">
        <v>433</v>
      </c>
      <c r="D111" s="3">
        <v>1.86</v>
      </c>
    </row>
    <row r="112" spans="1:4" x14ac:dyDescent="0.2">
      <c r="A112" s="3">
        <v>1994</v>
      </c>
      <c r="B112" s="3">
        <v>31537</v>
      </c>
      <c r="C112" s="3">
        <v>694</v>
      </c>
      <c r="D112" s="3">
        <v>2.2000000000000002</v>
      </c>
    </row>
    <row r="113" spans="1:4" x14ac:dyDescent="0.2">
      <c r="A113" s="3">
        <v>1995</v>
      </c>
      <c r="B113" s="3">
        <v>45618</v>
      </c>
      <c r="C113" s="3">
        <v>1292</v>
      </c>
      <c r="D113" s="3">
        <v>2.83</v>
      </c>
    </row>
    <row r="114" spans="1:4" x14ac:dyDescent="0.2">
      <c r="A114" s="3">
        <v>1996</v>
      </c>
      <c r="B114" s="3">
        <v>39958</v>
      </c>
      <c r="C114" s="3">
        <v>1646</v>
      </c>
      <c r="D114" s="3">
        <v>4.12</v>
      </c>
    </row>
    <row r="115" spans="1:4" x14ac:dyDescent="0.2">
      <c r="A115" s="3">
        <v>1997</v>
      </c>
      <c r="B115" s="3">
        <v>61456</v>
      </c>
      <c r="C115" s="3">
        <v>3772</v>
      </c>
      <c r="D115" s="3">
        <v>6.14</v>
      </c>
    </row>
    <row r="116" spans="1:4" x14ac:dyDescent="0.2">
      <c r="A116" s="3">
        <v>1998</v>
      </c>
      <c r="B116" s="3">
        <v>71926</v>
      </c>
      <c r="C116" s="3">
        <v>5935</v>
      </c>
      <c r="D116" s="3">
        <v>8.25</v>
      </c>
    </row>
    <row r="117" spans="1:4" x14ac:dyDescent="0.2">
      <c r="A117" s="3">
        <v>1999</v>
      </c>
      <c r="B117" s="3">
        <v>74626</v>
      </c>
      <c r="C117" s="3">
        <v>7386</v>
      </c>
      <c r="D117" s="3">
        <v>9.9</v>
      </c>
    </row>
    <row r="118" spans="1:4" x14ac:dyDescent="0.2">
      <c r="A118" s="3">
        <v>2000</v>
      </c>
      <c r="B118" s="3">
        <v>74656</v>
      </c>
      <c r="C118" s="3">
        <v>8529</v>
      </c>
      <c r="D118" s="3">
        <v>11.42</v>
      </c>
    </row>
    <row r="119" spans="1:4" x14ac:dyDescent="0.2">
      <c r="A119" s="3">
        <v>2001</v>
      </c>
      <c r="B119" s="3">
        <v>71372</v>
      </c>
      <c r="C119" s="3">
        <v>8542</v>
      </c>
      <c r="D119" s="3">
        <v>11.97</v>
      </c>
    </row>
    <row r="120" spans="1:4" x14ac:dyDescent="0.2">
      <c r="A120" s="3">
        <v>2002</v>
      </c>
      <c r="B120" s="3">
        <v>44199</v>
      </c>
      <c r="C120" s="3">
        <v>5178</v>
      </c>
      <c r="D120" s="3">
        <v>11.72</v>
      </c>
    </row>
    <row r="121" spans="1:4" x14ac:dyDescent="0.2">
      <c r="A121" s="3">
        <v>2003</v>
      </c>
      <c r="B121" s="3">
        <v>58097</v>
      </c>
      <c r="C121" s="3">
        <v>8454</v>
      </c>
      <c r="D121" s="3">
        <v>14.55</v>
      </c>
    </row>
    <row r="122" spans="1:4" x14ac:dyDescent="0.2">
      <c r="A122" s="3">
        <v>2004</v>
      </c>
      <c r="B122" s="3">
        <v>73626</v>
      </c>
      <c r="C122" s="3">
        <v>13556</v>
      </c>
      <c r="D122" s="3">
        <v>18.41</v>
      </c>
    </row>
    <row r="123" spans="1:4" x14ac:dyDescent="0.2">
      <c r="A123" s="3">
        <v>2005</v>
      </c>
      <c r="B123" s="3">
        <v>109970</v>
      </c>
      <c r="C123" s="3">
        <v>29723</v>
      </c>
      <c r="D123" s="3">
        <v>27.03</v>
      </c>
    </row>
    <row r="124" spans="1:4" x14ac:dyDescent="0.2">
      <c r="A124" s="3">
        <v>2006</v>
      </c>
      <c r="B124" s="3">
        <v>141494</v>
      </c>
      <c r="C124" s="3">
        <v>50398</v>
      </c>
      <c r="D124" s="3">
        <v>35.619999999999997</v>
      </c>
    </row>
    <row r="125" spans="1:4" x14ac:dyDescent="0.2">
      <c r="A125" s="3">
        <v>2007</v>
      </c>
      <c r="B125" s="3">
        <v>143287</v>
      </c>
      <c r="C125" s="3">
        <v>61314</v>
      </c>
      <c r="D125" s="3">
        <v>42.79</v>
      </c>
    </row>
    <row r="126" spans="1:4" x14ac:dyDescent="0.2">
      <c r="A126" s="3">
        <v>2008</v>
      </c>
      <c r="B126" s="3">
        <v>78916</v>
      </c>
      <c r="C126" s="3">
        <v>32500</v>
      </c>
      <c r="D126" s="3">
        <v>41.18</v>
      </c>
    </row>
    <row r="127" spans="1:4" x14ac:dyDescent="0.2">
      <c r="A127" s="3">
        <v>2009</v>
      </c>
      <c r="B127" s="3">
        <v>38206</v>
      </c>
      <c r="C127" s="3">
        <v>7942</v>
      </c>
      <c r="D127" s="3">
        <v>20.79</v>
      </c>
    </row>
    <row r="128" spans="1:4" x14ac:dyDescent="0.2">
      <c r="A128" s="3">
        <v>2010</v>
      </c>
      <c r="B128" s="3">
        <v>33470</v>
      </c>
      <c r="C128" s="3">
        <v>4602</v>
      </c>
      <c r="D128" s="3">
        <v>13.75</v>
      </c>
    </row>
    <row r="129" spans="1:4" x14ac:dyDescent="0.2">
      <c r="A129" s="3">
        <v>2011</v>
      </c>
      <c r="B129" s="3">
        <v>25055</v>
      </c>
      <c r="C129" s="3">
        <v>1968</v>
      </c>
      <c r="D129" s="3">
        <v>7.85</v>
      </c>
    </row>
    <row r="130" spans="1:4" x14ac:dyDescent="0.2">
      <c r="A130" s="3">
        <v>2012</v>
      </c>
      <c r="B130" s="3">
        <v>5991</v>
      </c>
      <c r="C130" s="3">
        <v>343</v>
      </c>
      <c r="D130" s="3">
        <v>5.73</v>
      </c>
    </row>
    <row r="131" spans="1:4" x14ac:dyDescent="0.2">
      <c r="A131" s="3">
        <v>2013</v>
      </c>
      <c r="B131" s="3">
        <v>2454</v>
      </c>
      <c r="C131" s="3">
        <v>70</v>
      </c>
      <c r="D131" s="3">
        <v>2.85</v>
      </c>
    </row>
    <row r="132" spans="1:4" x14ac:dyDescent="0.2">
      <c r="A132" s="3">
        <v>2014</v>
      </c>
      <c r="B132" s="3">
        <v>268</v>
      </c>
      <c r="C132" s="3">
        <v>5</v>
      </c>
      <c r="D132" s="3">
        <v>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KPI Dashboard</vt:lpstr>
      <vt:lpstr>Charts</vt:lpstr>
      <vt:lpstr>Risk Scorer</vt:lpstr>
      <vt:lpstr>Raw Data</vt:lpstr>
      <vt:lpstr>'Raw Data'!query1_overall_default_1</vt:lpstr>
      <vt:lpstr>'Raw Data'!query2_state_default</vt:lpstr>
      <vt:lpstr>'Raw Data'!query3_industry_default</vt:lpstr>
      <vt:lpstr>'Raw Data'!query4_loansize_default</vt:lpstr>
      <vt:lpstr>'Raw Data'!query5_newexist_default</vt:lpstr>
      <vt:lpstr>'Raw Data'!query6_lowdoc_default</vt:lpstr>
      <vt:lpstr>'Raw Data'!query7_yearly_trend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Kesarwani (Student)</dc:creator>
  <cp:lastModifiedBy>Ashutosh Kesarwani (Student)</cp:lastModifiedBy>
  <dcterms:created xsi:type="dcterms:W3CDTF">2026-06-12T04:21:12Z</dcterms:created>
  <dcterms:modified xsi:type="dcterms:W3CDTF">2026-06-16T15:31:41Z</dcterms:modified>
</cp:coreProperties>
</file>